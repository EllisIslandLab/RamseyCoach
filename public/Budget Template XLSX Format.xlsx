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e0f30d18-7ae1-41db-9752-10ea00a69a6d\"/>
    </mc:Choice>
  </mc:AlternateContent>
  <xr:revisionPtr revIDLastSave="0" documentId="8_{572BE7C6-5DBC-4449-9D06-6F984305C302}" xr6:coauthVersionLast="47" xr6:coauthVersionMax="47" xr10:uidLastSave="{00000000-0000-0000-0000-000000000000}"/>
  <bookViews>
    <workbookView xWindow="-120" yWindow="-120" windowWidth="19440" windowHeight="10440"/>
  </bookViews>
  <sheets>
    <sheet name="Sheet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13" i="1" l="1"/>
  <c r="J113" i="1"/>
  <c r="I113" i="1"/>
  <c r="H113" i="1"/>
  <c r="G113" i="1"/>
  <c r="F113" i="1"/>
  <c r="E113" i="1"/>
  <c r="D113" i="1"/>
  <c r="C113" i="1"/>
  <c r="K99" i="1"/>
  <c r="J99" i="1"/>
  <c r="I99" i="1"/>
  <c r="H99" i="1"/>
  <c r="G99" i="1"/>
  <c r="F99" i="1"/>
  <c r="E99" i="1"/>
  <c r="D99" i="1"/>
  <c r="D94" i="1" s="1"/>
  <c r="C99" i="1"/>
  <c r="K95" i="1"/>
  <c r="J95" i="1"/>
  <c r="I95" i="1"/>
  <c r="H95" i="1"/>
  <c r="G95" i="1"/>
  <c r="F95" i="1"/>
  <c r="E95" i="1"/>
  <c r="E94" i="1" s="1"/>
  <c r="D95" i="1"/>
  <c r="C95" i="1"/>
  <c r="K94" i="1"/>
  <c r="J94" i="1"/>
  <c r="I94" i="1"/>
  <c r="H94" i="1"/>
  <c r="G94" i="1"/>
  <c r="F94" i="1"/>
  <c r="C94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O73" i="1"/>
  <c r="N73" i="1"/>
  <c r="M73" i="1"/>
  <c r="L73" i="1"/>
  <c r="K73" i="1"/>
  <c r="J73" i="1"/>
  <c r="I73" i="1"/>
  <c r="H73" i="1"/>
  <c r="G73" i="1"/>
  <c r="F73" i="1"/>
  <c r="E73" i="1"/>
  <c r="D73" i="1"/>
  <c r="D72" i="1" s="1"/>
  <c r="E72" i="1" s="1"/>
  <c r="F72" i="1" s="1"/>
  <c r="G72" i="1" s="1"/>
  <c r="H72" i="1" s="1"/>
  <c r="I72" i="1" s="1"/>
  <c r="J72" i="1" s="1"/>
  <c r="K72" i="1" s="1"/>
  <c r="L72" i="1" s="1"/>
  <c r="M72" i="1" s="1"/>
  <c r="N72" i="1" s="1"/>
  <c r="O72" i="1" s="1"/>
  <c r="C73" i="1"/>
  <c r="C72" i="1" s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O42" i="1"/>
  <c r="N42" i="1"/>
  <c r="M42" i="1"/>
  <c r="L42" i="1"/>
  <c r="L38" i="1" s="1"/>
  <c r="K42" i="1"/>
  <c r="K38" i="1" s="1"/>
  <c r="J42" i="1"/>
  <c r="J38" i="1" s="1"/>
  <c r="I42" i="1"/>
  <c r="I38" i="1" s="1"/>
  <c r="H42" i="1"/>
  <c r="H38" i="1" s="1"/>
  <c r="G42" i="1"/>
  <c r="F42" i="1"/>
  <c r="E42" i="1"/>
  <c r="D42" i="1"/>
  <c r="D38" i="1" s="1"/>
  <c r="D37" i="1" s="1"/>
  <c r="D33" i="1" s="1"/>
  <c r="C42" i="1"/>
  <c r="C38" i="1" s="1"/>
  <c r="C37" i="1" s="1"/>
  <c r="C33" i="1" s="1"/>
  <c r="C34" i="1" s="1"/>
  <c r="O38" i="1"/>
  <c r="N38" i="1"/>
  <c r="M38" i="1"/>
  <c r="G38" i="1"/>
  <c r="F38" i="1"/>
  <c r="E38" i="1"/>
  <c r="K34" i="1"/>
  <c r="O33" i="1"/>
  <c r="N33" i="1"/>
  <c r="M33" i="1"/>
  <c r="L33" i="1"/>
  <c r="K33" i="1"/>
  <c r="O28" i="1"/>
  <c r="O34" i="1" s="1"/>
  <c r="N28" i="1"/>
  <c r="N34" i="1" s="1"/>
  <c r="M28" i="1"/>
  <c r="M34" i="1" s="1"/>
  <c r="L28" i="1"/>
  <c r="L34" i="1" s="1"/>
  <c r="K28" i="1"/>
  <c r="J28" i="1"/>
  <c r="I28" i="1"/>
  <c r="H28" i="1"/>
  <c r="G28" i="1"/>
  <c r="F28" i="1"/>
  <c r="E28" i="1"/>
  <c r="D28" i="1"/>
  <c r="C28" i="1"/>
  <c r="O2" i="1"/>
  <c r="N2" i="1"/>
  <c r="M2" i="1"/>
  <c r="L2" i="1"/>
  <c r="K2" i="1"/>
  <c r="J2" i="1"/>
  <c r="I2" i="1"/>
  <c r="H2" i="1"/>
  <c r="G2" i="1"/>
  <c r="F2" i="1"/>
  <c r="E2" i="1"/>
  <c r="D2" i="1"/>
  <c r="C2" i="1"/>
  <c r="J37" i="1" l="1"/>
  <c r="J33" i="1" s="1"/>
  <c r="J34" i="1" s="1"/>
  <c r="D34" i="1"/>
  <c r="E37" i="1"/>
  <c r="E33" i="1" s="1"/>
  <c r="E34" i="1" s="1"/>
  <c r="F37" i="1"/>
  <c r="F33" i="1" s="1"/>
  <c r="F34" i="1" s="1"/>
  <c r="H34" i="1"/>
  <c r="G37" i="1"/>
  <c r="G33" i="1" s="1"/>
  <c r="G34" i="1" s="1"/>
  <c r="H37" i="1"/>
  <c r="H33" i="1" s="1"/>
  <c r="I37" i="1"/>
  <c r="I33" i="1" s="1"/>
  <c r="I34" i="1" s="1"/>
</calcChain>
</file>

<file path=xl/sharedStrings.xml><?xml version="1.0" encoding="utf-8"?>
<sst xmlns="http://schemas.openxmlformats.org/spreadsheetml/2006/main" count="84" uniqueCount="82">
  <si>
    <t>Account Type</t>
  </si>
  <si>
    <t>Income/Expense</t>
  </si>
  <si>
    <t>Expected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</si>
  <si>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</si>
  <si>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</si>
  <si>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</si>
  <si>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</si>
  <si>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</si>
  <si>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</si>
  <si>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</si>
  <si>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</si>
  <si>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</si>
  <si>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</si>
  <si>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</si>
  <si>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</si>
  <si>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Estimated Net Worth</t>
  </si>
  <si>
    <t>Fidelity.com (example)</t>
  </si>
  <si>
    <t>401K</t>
  </si>
  <si>
    <t>Crypto</t>
  </si>
  <si>
    <t>Estimated Value of Home</t>
  </si>
  <si>
    <t>House Debt</t>
  </si>
  <si>
    <t>Car Debt</t>
  </si>
  <si>
    <t>OVERVIEW</t>
  </si>
  <si>
    <t>Net Income</t>
  </si>
  <si>
    <t>Paycheck 1</t>
  </si>
  <si>
    <t>Paycheck 2</t>
  </si>
  <si>
    <t>Paycheck 3</t>
  </si>
  <si>
    <t>Extra</t>
  </si>
  <si>
    <t>Allocation/Expenses</t>
  </si>
  <si>
    <t>Leftover</t>
  </si>
  <si>
    <t>FIXED MONTHLY COSTS</t>
  </si>
  <si>
    <t>Total Fixed Monthly</t>
  </si>
  <si>
    <t>Total Mortgage</t>
  </si>
  <si>
    <t>Principal</t>
  </si>
  <si>
    <t>Interest</t>
  </si>
  <si>
    <t>Additional Principal</t>
  </si>
  <si>
    <t>Escrow</t>
  </si>
  <si>
    <t>Property Tax</t>
  </si>
  <si>
    <t>Homeowners Insurance</t>
  </si>
  <si>
    <t>Umbrella</t>
  </si>
  <si>
    <t>Total Auto</t>
  </si>
  <si>
    <t>Auto Insurance</t>
  </si>
  <si>
    <t>Car Payment</t>
  </si>
  <si>
    <t>Gifts and Charity</t>
  </si>
  <si>
    <t>Church (Bi-weekly)</t>
  </si>
  <si>
    <t>Monthly Subscriptions</t>
  </si>
  <si>
    <t>TV/Internet</t>
  </si>
  <si>
    <t>Phone</t>
  </si>
  <si>
    <t>Gym</t>
  </si>
  <si>
    <t>Spotify</t>
  </si>
  <si>
    <t>Life Insurance</t>
  </si>
  <si>
    <t>Term Life Insurance</t>
  </si>
  <si>
    <t>Fixed Sinking Funds</t>
  </si>
  <si>
    <t>Total Fixed Sinking</t>
  </si>
  <si>
    <t>Fixed Costs 6X Per Year</t>
  </si>
  <si>
    <t>Fixed Costs 4X Per Year</t>
  </si>
  <si>
    <t>Waste Removal</t>
  </si>
  <si>
    <t>Sewer</t>
  </si>
  <si>
    <t>Fixed Costs 2X Per Year</t>
  </si>
  <si>
    <t>Dentist</t>
  </si>
  <si>
    <t>Fixed Yearly Costs</t>
  </si>
  <si>
    <t>FLUCTUATING COSTS</t>
  </si>
  <si>
    <t>Total Fluctuating Costs</t>
  </si>
  <si>
    <t>Total Cash</t>
  </si>
  <si>
    <t>Ezra</t>
  </si>
  <si>
    <t>Restaurants</t>
  </si>
  <si>
    <t>Total Needed Variables</t>
  </si>
  <si>
    <t>Gasoline/Transportation</t>
  </si>
  <si>
    <t>Water</t>
  </si>
  <si>
    <t>Electric</t>
  </si>
  <si>
    <t>Gas</t>
  </si>
  <si>
    <t>Miscellaneous</t>
  </si>
  <si>
    <t>Groceries</t>
  </si>
  <si>
    <t>Savings</t>
  </si>
  <si>
    <t>Total Savings</t>
  </si>
  <si>
    <t>Clothing</t>
  </si>
  <si>
    <t>Christmas/Gifts</t>
  </si>
  <si>
    <t>Home Repair&amp;Replace</t>
  </si>
  <si>
    <t>Auto Repair&amp;Replace</t>
  </si>
  <si>
    <t>Health Savings</t>
  </si>
  <si>
    <t>Vacation</t>
  </si>
  <si>
    <t>Emergency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</si>
</sst>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409]#,##0.00;[Red]&quot;-&quot;[$$-409]#,##0.00"/>
  </numFmts>
  <fonts count="25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sz val="11"/>
      <color rgb="FF000000"/>
      <name val="Liberation Sans1"/>
    </font>
    <font>
      <i/>
      <sz val="10"/>
      <color rgb="FF808080"/>
      <name val="Liberation Sans"/>
    </font>
    <font>
      <sz val="10"/>
      <color rgb="FF006600"/>
      <name val="Liberation Sans"/>
    </font>
    <font>
      <b/>
      <i/>
      <sz val="16"/>
      <color theme="1"/>
      <name val="Liberation Sans"/>
    </font>
    <font>
      <b/>
      <i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2"/>
      <color rgb="FFFFFF99"/>
      <name val="Arial Black1"/>
    </font>
    <font>
      <sz val="12"/>
      <color theme="1"/>
      <name val="Arial"/>
      <family val="2"/>
    </font>
    <font>
      <sz val="12"/>
      <color theme="1"/>
      <name val="Arial Black1"/>
    </font>
    <font>
      <sz val="10"/>
      <color theme="1"/>
      <name val="Arial"/>
      <family val="2"/>
    </font>
    <font>
      <sz val="12"/>
      <color rgb="FF00000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 Black1"/>
    </font>
    <font>
      <sz val="12"/>
      <color rgb="FF000000"/>
      <name val="Arial Black1"/>
    </font>
    <font>
      <b/>
      <sz val="12"/>
      <color theme="1"/>
      <name val="Arial"/>
      <family val="2"/>
    </font>
    <font>
      <sz val="12"/>
      <color theme="1"/>
      <name val="Arial Black"/>
      <family val="2"/>
    </font>
    <font>
      <sz val="10"/>
      <color theme="1"/>
      <name val="Arial Black1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0000FF"/>
        <bgColor rgb="FF0000FF"/>
      </patternFill>
    </fill>
    <fill>
      <patternFill patternType="solid">
        <fgColor rgb="FF00FA9A"/>
        <bgColor rgb="FF00FA9A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1">
    <xf numFmtId="0" fontId="0" fillId="0" borderId="0"/>
    <xf numFmtId="0" fontId="8" fillId="0" borderId="0">
      <alignment horizontal="center" textRotation="90"/>
    </xf>
    <xf numFmtId="0" fontId="9" fillId="0" borderId="0">
      <alignment horizontal="center"/>
    </xf>
    <xf numFmtId="0" fontId="7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0" borderId="0" applyNumberFormat="0" applyBorder="0" applyProtection="0"/>
    <xf numFmtId="0" fontId="3" fillId="6" borderId="0"/>
    <xf numFmtId="0" fontId="6" fillId="0" borderId="0"/>
    <xf numFmtId="0" fontId="8" fillId="0" borderId="0">
      <alignment horizontal="center"/>
    </xf>
    <xf numFmtId="0" fontId="10" fillId="0" borderId="0"/>
    <xf numFmtId="0" fontId="13" fillId="0" borderId="0"/>
    <xf numFmtId="164" fontId="13" fillId="0" borderId="0"/>
    <xf numFmtId="0" fontId="1" fillId="0" borderId="0"/>
    <xf numFmtId="0" fontId="1" fillId="0" borderId="0"/>
    <xf numFmtId="0" fontId="4" fillId="0" borderId="0"/>
  </cellStyleXfs>
  <cellXfs count="33">
    <xf numFmtId="0" fontId="0" fillId="0" borderId="0" xfId="0"/>
    <xf numFmtId="0" fontId="14" fillId="9" borderId="2" xfId="0" applyFont="1" applyFill="1" applyBorder="1"/>
    <xf numFmtId="0" fontId="0" fillId="0" borderId="2" xfId="0" applyBorder="1"/>
    <xf numFmtId="0" fontId="15" fillId="9" borderId="2" xfId="0" applyFont="1" applyFill="1" applyBorder="1"/>
    <xf numFmtId="0" fontId="16" fillId="10" borderId="2" xfId="0" applyFont="1" applyFill="1" applyBorder="1"/>
    <xf numFmtId="164" fontId="15" fillId="10" borderId="2" xfId="0" applyNumberFormat="1" applyFont="1" applyFill="1" applyBorder="1"/>
    <xf numFmtId="164" fontId="15" fillId="0" borderId="2" xfId="0" applyNumberFormat="1" applyFont="1" applyBorder="1"/>
    <xf numFmtId="0" fontId="15" fillId="0" borderId="2" xfId="0" applyFont="1" applyBorder="1"/>
    <xf numFmtId="0" fontId="17" fillId="0" borderId="2" xfId="0" applyFont="1" applyBorder="1"/>
    <xf numFmtId="0" fontId="15" fillId="11" borderId="2" xfId="0" applyFont="1" applyFill="1" applyBorder="1"/>
    <xf numFmtId="0" fontId="18" fillId="9" borderId="2" xfId="0" applyFont="1" applyFill="1" applyBorder="1"/>
    <xf numFmtId="164" fontId="15" fillId="0" borderId="2" xfId="0" applyNumberFormat="1" applyFont="1" applyFill="1" applyBorder="1"/>
    <xf numFmtId="0" fontId="15" fillId="0" borderId="2" xfId="0" applyFont="1" applyFill="1" applyBorder="1"/>
    <xf numFmtId="0" fontId="16" fillId="11" borderId="2" xfId="0" applyFont="1" applyFill="1" applyBorder="1"/>
    <xf numFmtId="164" fontId="15" fillId="11" borderId="2" xfId="0" applyNumberFormat="1" applyFont="1" applyFill="1" applyBorder="1"/>
    <xf numFmtId="0" fontId="19" fillId="10" borderId="2" xfId="0" applyFont="1" applyFill="1" applyBorder="1"/>
    <xf numFmtId="0" fontId="20" fillId="0" borderId="2" xfId="0" applyFont="1" applyBorder="1"/>
    <xf numFmtId="0" fontId="15" fillId="10" borderId="2" xfId="0" applyFont="1" applyFill="1" applyBorder="1"/>
    <xf numFmtId="0" fontId="15" fillId="12" borderId="2" xfId="0" applyFont="1" applyFill="1" applyBorder="1"/>
    <xf numFmtId="0" fontId="21" fillId="11" borderId="2" xfId="0" applyFont="1" applyFill="1" applyBorder="1"/>
    <xf numFmtId="164" fontId="15" fillId="12" borderId="2" xfId="0" applyNumberFormat="1" applyFont="1" applyFill="1" applyBorder="1"/>
    <xf numFmtId="0" fontId="22" fillId="11" borderId="2" xfId="0" applyFont="1" applyFill="1" applyBorder="1"/>
    <xf numFmtId="0" fontId="16" fillId="0" borderId="2" xfId="0" applyFont="1" applyBorder="1"/>
    <xf numFmtId="0" fontId="17" fillId="9" borderId="2" xfId="0" applyFont="1" applyFill="1" applyBorder="1"/>
    <xf numFmtId="0" fontId="15" fillId="0" borderId="0" xfId="0" applyFont="1"/>
    <xf numFmtId="0" fontId="17" fillId="0" borderId="0" xfId="0" applyFont="1"/>
    <xf numFmtId="0" fontId="23" fillId="10" borderId="2" xfId="0" applyFont="1" applyFill="1" applyBorder="1"/>
    <xf numFmtId="164" fontId="17" fillId="0" borderId="0" xfId="0" applyNumberFormat="1" applyFont="1"/>
    <xf numFmtId="0" fontId="18" fillId="0" borderId="2" xfId="0" applyFont="1" applyFill="1" applyBorder="1"/>
    <xf numFmtId="0" fontId="16" fillId="0" borderId="2" xfId="0" applyFont="1" applyFill="1" applyBorder="1"/>
    <xf numFmtId="0" fontId="17" fillId="0" borderId="2" xfId="0" applyFont="1" applyFill="1" applyBorder="1"/>
    <xf numFmtId="0" fontId="24" fillId="0" borderId="2" xfId="0" applyFont="1" applyFill="1" applyBorder="1"/>
    <xf numFmtId="0" fontId="19" fillId="0" borderId="3" xfId="0" applyFont="1" applyFill="1" applyBorder="1" applyAlignment="1">
      <alignment horizontal="center" vertical="center"/>
    </xf>
  </cellXfs>
  <cellStyles count="21">
    <cellStyle name="Accent" xfId="7"/>
    <cellStyle name="Accent 1" xfId="8"/>
    <cellStyle name="Accent 2" xfId="9"/>
    <cellStyle name="Accent 3" xfId="10"/>
    <cellStyle name="Bad" xfId="4" builtinId="27" customBuiltin="1"/>
    <cellStyle name="Default" xfId="11"/>
    <cellStyle name="Error" xfId="12"/>
    <cellStyle name="Footnote" xfId="13"/>
    <cellStyle name="Good" xfId="3" builtinId="26" customBuiltin="1"/>
    <cellStyle name="Heading" xfId="14"/>
    <cellStyle name="Heading 1" xfId="1" builtinId="16" customBuiltin="1"/>
    <cellStyle name="Heading 2" xfId="2" builtinId="17" customBuiltin="1"/>
    <cellStyle name="Hyperlink" xfId="15"/>
    <cellStyle name="Neutral" xfId="5" builtinId="28" customBuiltin="1"/>
    <cellStyle name="Normal" xfId="0" builtinId="0" customBuiltin="1"/>
    <cellStyle name="Note" xfId="6" builtinId="10" customBuiltin="1"/>
    <cellStyle name="Result" xfId="16"/>
    <cellStyle name="Result2" xfId="17"/>
    <cellStyle name="Status" xfId="18"/>
    <cellStyle name="Text" xfId="19"/>
    <cellStyle name="Warning" xf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xMode val="edge"/>
          <c:yMode val="edge"/>
          <c:x val="2.3218619016104124E-2"/>
          <c:y val="3.0350866129411371E-2"/>
          <c:w val="0.9742444297374806"/>
          <c:h val="0.95763052811518756"/>
        </c:manualLayout>
      </c:layout>
      <c:lineChart>
        <c:grouping val="standard"/>
        <c:varyColors val="0"/>
        <c:ser>
          <c:idx val="0"/>
          <c:order val="0"/>
          <c:spPr>
            <a:ln w="28800">
              <a:solidFill>
                <a:srgbClr val="004586"/>
              </a:solidFill>
            </a:ln>
          </c:spPr>
          <c:marker>
            <c:symbol val="square"/>
            <c:size val="7"/>
          </c:marker>
          <c:val>
            <c:numRef>
              <c:f>Sheet1!$D$2:$O$2</c:f>
              <c:numCache>
                <c:formatCode>[$$-409]#,##0.00;[Red]"-"[$$-409]#,##0.00</c:formatCode>
                <c:ptCount val="12"/>
                <c:pt idx="0">
                  <c:v>1000</c:v>
                </c:pt>
                <c:pt idx="1">
                  <c:v>1200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090671"/>
        <c:axId val="701098991"/>
      </c:lineChart>
      <c:valAx>
        <c:axId val="701098991"/>
        <c:scaling>
          <c:orientation val="minMax"/>
        </c:scaling>
        <c:delete val="0"/>
        <c:axPos val="l"/>
        <c:majorGridlines>
          <c:spPr>
            <a:ln w="6480">
              <a:solidFill>
                <a:srgbClr val="B3B3B3"/>
              </a:solidFill>
            </a:ln>
          </c:spPr>
        </c:majorGridlines>
        <c:numFmt formatCode="[$$-409]#,##0.00;[Red]&quot;-&quot;[$$-409]#,##0.00" sourceLinked="1"/>
        <c:majorTickMark val="none"/>
        <c:minorTickMark val="none"/>
        <c:tickLblPos val="nextTo"/>
        <c:spPr>
          <a:ln w="6480">
            <a:solidFill>
              <a:srgbClr val="B3B3B3"/>
            </a:solidFill>
          </a:ln>
        </c:spPr>
        <c:txPr>
          <a:bodyPr/>
          <a:lstStyle/>
          <a:p>
            <a:pPr>
              <a:defRPr sz="1000" b="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1090671"/>
        <c:crosses val="autoZero"/>
        <c:crossBetween val="between"/>
      </c:valAx>
      <c:catAx>
        <c:axId val="701090671"/>
        <c:scaling>
          <c:orientation val="minMax"/>
        </c:scaling>
        <c:delete val="0"/>
        <c:axPos val="b"/>
        <c:majorGridlines>
          <c:spPr>
            <a:ln w="6480">
              <a:solidFill>
                <a:srgbClr val="B3B3B3"/>
              </a:solidFill>
            </a:ln>
          </c:spPr>
        </c:majorGridlines>
        <c:majorTickMark val="none"/>
        <c:minorTickMark val="none"/>
        <c:tickLblPos val="low"/>
        <c:spPr>
          <a:ln w="6480">
            <a:solidFill>
              <a:srgbClr val="B3B3B3"/>
            </a:solidFill>
          </a:ln>
        </c:spPr>
        <c:txPr>
          <a:bodyPr/>
          <a:lstStyle/>
          <a:p>
            <a:pPr>
              <a:defRPr sz="1000" b="0" baseline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1098991"/>
        <c:crossesAt val="0"/>
        <c:auto val="1"/>
        <c:lblAlgn val="ctr"/>
        <c:lblOffset val="100"/>
        <c:noMultiLvlLbl val="0"/>
      </c:catAx>
      <c:spPr>
        <a:noFill/>
        <a:ln w="9360">
          <a:solidFill>
            <a:srgbClr val="B3B3B3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4308469" y="4523719"/>
    <xdr:ext cx="13054705" cy="2964942"/>
    <xdr:graphicFrame macro="">
      <xdr:nvGraphicFramePr>
        <xdr:cNvPr id="2" name="Chart 1" descr="Assets Minus Debt" title="Net Worth">
          <a:extLst>
            <a:ext uri="{FF2B5EF4-FFF2-40B4-BE49-F238E27FC236}">
              <a16:creationId xmlns:a16="http://schemas.microsoft.com/office/drawing/2014/main" id="{B28E70A2-AE61-4F89-A9D2-20F6F5915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8"/>
  <sheetViews>
    <sheetView tabSelected="1" workbookViewId="0"/>
  </sheetViews>
  <sheetFormatPr defaultRowHeight="13.9"/>
  <cols>
    <col min="1" max="1" width="32.5703125" customWidth="1"/>
    <col min="2" max="2" width="31.85546875" customWidth="1"/>
    <col min="3" max="15" width="15.140625" customWidth="1"/>
    <col min="16" max="16" width="13.7109375" customWidth="1"/>
    <col min="17" max="33" width="12.28515625" customWidth="1"/>
    <col min="34" max="1024" width="10" customWidth="1"/>
  </cols>
  <sheetData>
    <row r="1" spans="1:33" ht="23.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23.65" customHeight="1">
      <c r="A2" s="3"/>
      <c r="B2" s="4" t="s">
        <v>15</v>
      </c>
      <c r="C2" s="5">
        <f>SUM(C3:C14)</f>
        <v>0</v>
      </c>
      <c r="D2" s="5">
        <f>SUM(D3:D14)</f>
        <v>1000</v>
      </c>
      <c r="E2" s="5">
        <f>SUM(E3:E14)</f>
        <v>1200</v>
      </c>
      <c r="F2" s="5">
        <f t="shared" ref="F2:O2" si="0">SUM(F3:F15)</f>
        <v>0</v>
      </c>
      <c r="G2" s="5">
        <f t="shared" si="0"/>
        <v>0</v>
      </c>
      <c r="H2" s="5">
        <f t="shared" si="0"/>
        <v>0</v>
      </c>
      <c r="I2" s="5">
        <f t="shared" si="0"/>
        <v>0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0</v>
      </c>
      <c r="P2" s="6"/>
      <c r="Q2" s="6"/>
      <c r="R2" s="7"/>
      <c r="S2" s="7"/>
      <c r="T2" s="7"/>
      <c r="U2" s="8"/>
      <c r="V2" s="8"/>
      <c r="W2" s="8"/>
      <c r="X2" s="8"/>
      <c r="Y2" s="8"/>
      <c r="Z2" s="8"/>
      <c r="AA2" s="8"/>
      <c r="AB2" s="2"/>
      <c r="AC2" s="2"/>
      <c r="AD2" s="2"/>
      <c r="AE2" s="2"/>
      <c r="AF2" s="2"/>
      <c r="AG2" s="2"/>
    </row>
    <row r="3" spans="1:33" ht="23.65" customHeight="1">
      <c r="A3" s="9" t="s">
        <v>16</v>
      </c>
      <c r="B3" s="7" t="s">
        <v>17</v>
      </c>
      <c r="C3" s="6">
        <v>0</v>
      </c>
      <c r="D3" s="6">
        <v>1000</v>
      </c>
      <c r="E3" s="6">
        <v>1200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7"/>
      <c r="T3" s="7"/>
      <c r="U3" s="8"/>
      <c r="V3" s="8"/>
      <c r="W3" s="8"/>
      <c r="X3" s="8"/>
      <c r="Y3" s="8"/>
      <c r="Z3" s="8"/>
      <c r="AA3" s="8"/>
      <c r="AB3" s="2"/>
      <c r="AC3" s="2"/>
      <c r="AD3" s="2"/>
      <c r="AE3" s="2"/>
      <c r="AF3" s="2"/>
      <c r="AG3" s="2"/>
    </row>
    <row r="4" spans="1:33" ht="23.65" customHeight="1">
      <c r="A4" s="3"/>
      <c r="B4" s="7" t="s">
        <v>18</v>
      </c>
      <c r="C4" s="6">
        <v>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7"/>
      <c r="S4" s="7"/>
      <c r="T4" s="7"/>
      <c r="U4" s="8"/>
      <c r="V4" s="8"/>
      <c r="W4" s="8"/>
      <c r="X4" s="8"/>
      <c r="Y4" s="8"/>
      <c r="Z4" s="8"/>
      <c r="AA4" s="8"/>
      <c r="AB4" s="2"/>
      <c r="AC4" s="2"/>
      <c r="AD4" s="2"/>
      <c r="AE4" s="2"/>
      <c r="AF4" s="2"/>
      <c r="AG4" s="2"/>
    </row>
    <row r="5" spans="1:33" ht="23.65" customHeight="1">
      <c r="A5" s="3"/>
      <c r="B5" s="7" t="s">
        <v>19</v>
      </c>
      <c r="C5" s="6"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7"/>
      <c r="S5" s="7"/>
      <c r="T5" s="7"/>
      <c r="U5" s="8"/>
      <c r="V5" s="8"/>
      <c r="W5" s="8"/>
      <c r="X5" s="8"/>
      <c r="Y5" s="8"/>
      <c r="Z5" s="8"/>
      <c r="AA5" s="8"/>
      <c r="AB5" s="2"/>
      <c r="AC5" s="2"/>
      <c r="AD5" s="2"/>
      <c r="AE5" s="2"/>
      <c r="AF5" s="2"/>
      <c r="AG5" s="2"/>
    </row>
    <row r="6" spans="1:33" ht="23.65" customHeight="1">
      <c r="A6" s="3"/>
      <c r="B6" s="7" t="s">
        <v>19</v>
      </c>
      <c r="C6" s="6">
        <v>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7"/>
      <c r="S6" s="7"/>
      <c r="T6" s="7"/>
      <c r="U6" s="8"/>
      <c r="V6" s="8"/>
      <c r="W6" s="8"/>
      <c r="X6" s="8"/>
      <c r="Y6" s="8"/>
      <c r="Z6" s="8"/>
      <c r="AA6" s="8"/>
      <c r="AB6" s="2"/>
      <c r="AC6" s="2"/>
      <c r="AD6" s="2"/>
      <c r="AE6" s="2"/>
      <c r="AF6" s="2"/>
      <c r="AG6" s="2"/>
    </row>
    <row r="7" spans="1:33" ht="23.65" customHeight="1">
      <c r="A7" s="3"/>
      <c r="B7" s="7" t="s">
        <v>20</v>
      </c>
      <c r="C7" s="6">
        <v>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7"/>
      <c r="S7" s="7"/>
      <c r="T7" s="7"/>
      <c r="U7" s="8"/>
      <c r="V7" s="8"/>
      <c r="W7" s="8"/>
      <c r="X7" s="8"/>
      <c r="Y7" s="8"/>
      <c r="Z7" s="8"/>
      <c r="AA7" s="8"/>
      <c r="AB7" s="2"/>
      <c r="AC7" s="2"/>
      <c r="AD7" s="2"/>
      <c r="AE7" s="2"/>
      <c r="AF7" s="2"/>
      <c r="AG7" s="2"/>
    </row>
    <row r="8" spans="1:33" ht="23.65" customHeight="1">
      <c r="A8" s="3"/>
      <c r="B8" s="7" t="s">
        <v>21</v>
      </c>
      <c r="C8" s="6">
        <v>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7"/>
      <c r="S8" s="7"/>
      <c r="T8" s="7"/>
      <c r="U8" s="8"/>
      <c r="V8" s="8"/>
      <c r="W8" s="8"/>
      <c r="X8" s="8"/>
      <c r="Y8" s="8"/>
      <c r="Z8" s="8"/>
      <c r="AA8" s="8"/>
      <c r="AB8" s="2"/>
      <c r="AC8" s="2"/>
      <c r="AD8" s="2"/>
      <c r="AE8" s="2"/>
      <c r="AF8" s="2"/>
      <c r="AG8" s="2"/>
    </row>
    <row r="9" spans="1:33" ht="23.65" customHeight="1">
      <c r="A9" s="3"/>
      <c r="B9" s="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7"/>
      <c r="S9" s="7"/>
      <c r="T9" s="7"/>
      <c r="U9" s="8"/>
      <c r="V9" s="8"/>
      <c r="W9" s="8"/>
      <c r="X9" s="8"/>
      <c r="Y9" s="8"/>
      <c r="Z9" s="8"/>
      <c r="AA9" s="8"/>
      <c r="AB9" s="2"/>
      <c r="AC9" s="2"/>
      <c r="AD9" s="2"/>
      <c r="AE9" s="2"/>
      <c r="AF9" s="2"/>
      <c r="AG9" s="2"/>
    </row>
    <row r="10" spans="1:33" ht="23.65" customHeight="1">
      <c r="A10" s="3"/>
      <c r="B10" s="7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7"/>
      <c r="S10" s="7"/>
      <c r="T10" s="7"/>
      <c r="U10" s="8"/>
      <c r="V10" s="8"/>
      <c r="W10" s="8"/>
      <c r="X10" s="8"/>
      <c r="Y10" s="8"/>
      <c r="Z10" s="8"/>
      <c r="AA10" s="8"/>
      <c r="AB10" s="2"/>
      <c r="AC10" s="2"/>
      <c r="AD10" s="2"/>
      <c r="AE10" s="2"/>
      <c r="AF10" s="2"/>
      <c r="AG10" s="2"/>
    </row>
    <row r="11" spans="1:33" ht="23.65" customHeight="1">
      <c r="A11" s="3"/>
      <c r="B11" s="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7"/>
      <c r="S11" s="7"/>
      <c r="T11" s="7"/>
      <c r="U11" s="8"/>
      <c r="V11" s="8"/>
      <c r="W11" s="8"/>
      <c r="X11" s="8"/>
      <c r="Y11" s="8"/>
      <c r="Z11" s="8"/>
      <c r="AA11" s="8"/>
      <c r="AB11" s="2"/>
      <c r="AC11" s="2"/>
      <c r="AD11" s="2"/>
      <c r="AE11" s="2"/>
      <c r="AF11" s="2"/>
      <c r="AG11" s="2"/>
    </row>
    <row r="12" spans="1:33" ht="23.65" customHeight="1">
      <c r="A12" s="3"/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7"/>
      <c r="S12" s="7"/>
      <c r="T12" s="7"/>
      <c r="U12" s="8"/>
      <c r="V12" s="8"/>
      <c r="W12" s="8"/>
      <c r="X12" s="8"/>
      <c r="Y12" s="8"/>
      <c r="Z12" s="8"/>
      <c r="AA12" s="8"/>
      <c r="AB12" s="2"/>
      <c r="AC12" s="2"/>
      <c r="AD12" s="2"/>
      <c r="AE12" s="2"/>
      <c r="AF12" s="2"/>
      <c r="AG12" s="2"/>
    </row>
    <row r="13" spans="1:33" ht="23.65" customHeight="1">
      <c r="A13" s="3"/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7"/>
      <c r="T13" s="7"/>
      <c r="U13" s="8"/>
      <c r="V13" s="8"/>
      <c r="W13" s="8"/>
      <c r="X13" s="8"/>
      <c r="Y13" s="8"/>
      <c r="Z13" s="8"/>
      <c r="AA13" s="8"/>
      <c r="AB13" s="2"/>
      <c r="AC13" s="2"/>
      <c r="AD13" s="2"/>
      <c r="AE13" s="2"/>
      <c r="AF13" s="2"/>
      <c r="AG13" s="2"/>
    </row>
    <row r="14" spans="1:33" ht="23.65" customHeight="1">
      <c r="A14" s="10"/>
      <c r="B14" s="7"/>
      <c r="C14" s="6"/>
      <c r="D14" s="6"/>
      <c r="E14" s="6"/>
      <c r="F14" s="6"/>
      <c r="G14" s="6"/>
      <c r="H14" s="11"/>
      <c r="I14" s="11"/>
      <c r="J14" s="11"/>
      <c r="K14" s="11"/>
      <c r="L14" s="11"/>
      <c r="M14" s="11"/>
      <c r="N14" s="11"/>
      <c r="O14" s="11"/>
      <c r="P14" s="6"/>
      <c r="Q14" s="6"/>
      <c r="R14" s="7"/>
      <c r="S14" s="7"/>
      <c r="T14" s="7"/>
      <c r="U14" s="8"/>
      <c r="V14" s="8"/>
      <c r="W14" s="8"/>
      <c r="X14" s="8"/>
      <c r="Y14" s="8"/>
      <c r="Z14" s="8"/>
      <c r="AA14" s="8"/>
      <c r="AB14" s="2"/>
      <c r="AC14" s="2"/>
      <c r="AD14" s="2"/>
      <c r="AE14" s="2"/>
      <c r="AF14" s="2"/>
      <c r="AG14" s="2"/>
    </row>
    <row r="15" spans="1:33" ht="23.65" customHeight="1">
      <c r="A15" s="3"/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7"/>
      <c r="S15" s="7"/>
      <c r="T15" s="7"/>
      <c r="U15" s="8"/>
      <c r="V15" s="8"/>
      <c r="W15" s="8"/>
      <c r="X15" s="8"/>
      <c r="Y15" s="8"/>
      <c r="Z15" s="8"/>
      <c r="AA15" s="8"/>
      <c r="AB15" s="2"/>
      <c r="AC15" s="2"/>
      <c r="AD15" s="2"/>
      <c r="AE15" s="2"/>
      <c r="AF15" s="2"/>
      <c r="AG15" s="2"/>
    </row>
    <row r="16" spans="1:33" ht="23.65" customHeight="1">
      <c r="A16" s="3"/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7"/>
      <c r="S16" s="7"/>
      <c r="T16" s="7"/>
      <c r="U16" s="8"/>
      <c r="V16" s="8"/>
      <c r="W16" s="8"/>
      <c r="X16" s="8"/>
      <c r="Y16" s="8"/>
      <c r="Z16" s="8"/>
      <c r="AA16" s="8"/>
      <c r="AB16" s="2"/>
      <c r="AC16" s="2"/>
      <c r="AD16" s="2"/>
      <c r="AE16" s="2"/>
      <c r="AF16" s="2"/>
      <c r="AG16" s="2"/>
    </row>
    <row r="17" spans="1:33" ht="23.65" customHeight="1">
      <c r="A17" s="3"/>
      <c r="B17" s="12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6"/>
      <c r="Q17" s="6"/>
      <c r="R17" s="7"/>
      <c r="S17" s="7"/>
      <c r="T17" s="7"/>
      <c r="U17" s="8"/>
      <c r="V17" s="8"/>
      <c r="W17" s="8"/>
      <c r="X17" s="8"/>
      <c r="Y17" s="8"/>
      <c r="Z17" s="8"/>
      <c r="AA17" s="8"/>
      <c r="AB17" s="2"/>
      <c r="AC17" s="2"/>
      <c r="AD17" s="2"/>
      <c r="AE17" s="2"/>
      <c r="AF17" s="2"/>
      <c r="AG17" s="2"/>
    </row>
    <row r="18" spans="1:33" ht="23.65" customHeight="1">
      <c r="A18" s="3"/>
      <c r="B18" s="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7"/>
      <c r="S18" s="7"/>
      <c r="T18" s="7"/>
      <c r="U18" s="8"/>
      <c r="V18" s="8"/>
      <c r="W18" s="8"/>
      <c r="X18" s="8"/>
      <c r="Y18" s="8"/>
      <c r="Z18" s="8"/>
      <c r="AA18" s="8"/>
      <c r="AB18" s="2"/>
      <c r="AC18" s="2"/>
      <c r="AD18" s="2"/>
      <c r="AE18" s="2"/>
      <c r="AF18" s="2"/>
      <c r="AG18" s="2"/>
    </row>
    <row r="19" spans="1:33" ht="23.65" customHeight="1">
      <c r="A19" s="10"/>
      <c r="B19" s="12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8"/>
      <c r="V19" s="8"/>
      <c r="W19" s="8"/>
      <c r="X19" s="8"/>
      <c r="Y19" s="8"/>
      <c r="Z19" s="8"/>
      <c r="AA19" s="8"/>
      <c r="AB19" s="2"/>
      <c r="AC19" s="2"/>
      <c r="AD19" s="2"/>
      <c r="AE19" s="2"/>
      <c r="AF19" s="2"/>
      <c r="AG19" s="2"/>
    </row>
    <row r="20" spans="1:33" ht="23.65" customHeight="1">
      <c r="A20" s="10"/>
      <c r="B20" s="12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6"/>
      <c r="Q20" s="6"/>
      <c r="R20" s="7"/>
      <c r="S20" s="7"/>
      <c r="T20" s="7"/>
      <c r="U20" s="8"/>
      <c r="V20" s="8"/>
      <c r="W20" s="8"/>
      <c r="X20" s="8"/>
      <c r="Y20" s="8"/>
      <c r="Z20" s="8"/>
      <c r="AA20" s="8"/>
      <c r="AB20" s="2"/>
      <c r="AC20" s="2"/>
      <c r="AD20" s="2"/>
      <c r="AE20" s="2"/>
      <c r="AF20" s="2"/>
      <c r="AG20" s="2"/>
    </row>
    <row r="21" spans="1:33" ht="23.65" customHeight="1">
      <c r="A21" s="10"/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7"/>
      <c r="S21" s="7"/>
      <c r="T21" s="7"/>
      <c r="U21" s="8"/>
      <c r="V21" s="8"/>
      <c r="W21" s="8"/>
      <c r="X21" s="8"/>
      <c r="Y21" s="8"/>
      <c r="Z21" s="8"/>
      <c r="AA21" s="8"/>
      <c r="AB21" s="2"/>
      <c r="AC21" s="2"/>
      <c r="AD21" s="2"/>
      <c r="AE21" s="2"/>
      <c r="AF21" s="2"/>
      <c r="AG21" s="2"/>
    </row>
    <row r="22" spans="1:33" ht="23.65" customHeight="1">
      <c r="A22" s="3"/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7"/>
      <c r="S22" s="7"/>
      <c r="T22" s="7"/>
      <c r="U22" s="8"/>
      <c r="V22" s="8"/>
      <c r="W22" s="8"/>
      <c r="X22" s="8"/>
      <c r="Y22" s="8"/>
      <c r="Z22" s="8"/>
      <c r="AA22" s="8"/>
      <c r="AB22" s="2"/>
      <c r="AC22" s="2"/>
      <c r="AD22" s="2"/>
      <c r="AE22" s="2"/>
      <c r="AF22" s="2"/>
      <c r="AG22" s="2"/>
    </row>
    <row r="23" spans="1:33" ht="23.65" customHeight="1">
      <c r="A23" s="3"/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8"/>
      <c r="W23" s="8"/>
      <c r="X23" s="8"/>
      <c r="Y23" s="8"/>
      <c r="Z23" s="8"/>
      <c r="AA23" s="8"/>
      <c r="AB23" s="2"/>
      <c r="AC23" s="2"/>
      <c r="AD23" s="2"/>
      <c r="AE23" s="2"/>
      <c r="AF23" s="2"/>
      <c r="AG23" s="2"/>
    </row>
    <row r="24" spans="1:33" ht="23.65" customHeight="1">
      <c r="A24" s="3"/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8"/>
      <c r="Y24" s="8"/>
      <c r="Z24" s="8"/>
      <c r="AA24" s="8"/>
      <c r="AB24" s="2"/>
      <c r="AC24" s="2"/>
      <c r="AD24" s="2"/>
      <c r="AE24" s="2"/>
      <c r="AF24" s="2"/>
      <c r="AG24" s="2"/>
    </row>
    <row r="25" spans="1:33" ht="23.65" customHeight="1">
      <c r="A25" s="10"/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7"/>
      <c r="S25" s="7"/>
      <c r="T25" s="7"/>
      <c r="U25" s="8"/>
      <c r="V25" s="8"/>
      <c r="W25" s="8"/>
      <c r="X25" s="8"/>
      <c r="Y25" s="8"/>
      <c r="Z25" s="8"/>
      <c r="AA25" s="8"/>
      <c r="AB25" s="2"/>
      <c r="AC25" s="2"/>
      <c r="AD25" s="2"/>
      <c r="AE25" s="2"/>
      <c r="AF25" s="2"/>
      <c r="AG25" s="2"/>
    </row>
    <row r="26" spans="1:33" ht="23.65" customHeight="1" thickBot="1">
      <c r="A26" s="3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6"/>
      <c r="Q26" s="6"/>
      <c r="R26" s="7"/>
      <c r="S26" s="7"/>
      <c r="T26" s="7"/>
      <c r="U26" s="8"/>
      <c r="V26" s="8"/>
      <c r="W26" s="8"/>
      <c r="X26" s="8"/>
      <c r="Y26" s="8"/>
      <c r="Z26" s="8"/>
      <c r="AA26" s="8"/>
      <c r="AB26" s="2"/>
      <c r="AC26" s="2"/>
      <c r="AD26" s="2"/>
      <c r="AE26" s="2"/>
      <c r="AF26" s="2"/>
      <c r="AG26" s="2"/>
    </row>
    <row r="27" spans="1:33" ht="23.65" customHeight="1" thickBot="1">
      <c r="A27" s="3"/>
      <c r="B27" s="32" t="s">
        <v>22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6"/>
      <c r="Q27" s="6"/>
      <c r="R27" s="7"/>
      <c r="S27" s="7"/>
      <c r="T27" s="7"/>
      <c r="U27" s="8"/>
      <c r="V27" s="8"/>
      <c r="W27" s="8"/>
      <c r="X27" s="8"/>
      <c r="Y27" s="8"/>
      <c r="Z27" s="8"/>
      <c r="AA27" s="8"/>
      <c r="AB27" s="2"/>
      <c r="AC27" s="2"/>
      <c r="AD27" s="2"/>
      <c r="AE27" s="2"/>
      <c r="AF27" s="2"/>
      <c r="AG27" s="2"/>
    </row>
    <row r="28" spans="1:33" ht="23.65" customHeight="1">
      <c r="A28" s="3"/>
      <c r="B28" s="13" t="s">
        <v>23</v>
      </c>
      <c r="C28" s="14">
        <f t="shared" ref="C28:O28" si="1">C29+C30+C31+C32</f>
        <v>2000</v>
      </c>
      <c r="D28" s="14">
        <f t="shared" si="1"/>
        <v>0</v>
      </c>
      <c r="E28" s="14">
        <f t="shared" si="1"/>
        <v>0</v>
      </c>
      <c r="F28" s="14">
        <f t="shared" si="1"/>
        <v>0</v>
      </c>
      <c r="G28" s="14">
        <f t="shared" si="1"/>
        <v>0</v>
      </c>
      <c r="H28" s="14">
        <f t="shared" si="1"/>
        <v>0</v>
      </c>
      <c r="I28" s="14">
        <f t="shared" si="1"/>
        <v>0</v>
      </c>
      <c r="J28" s="14">
        <f t="shared" si="1"/>
        <v>0</v>
      </c>
      <c r="K28" s="14">
        <f t="shared" si="1"/>
        <v>0</v>
      </c>
      <c r="L28" s="14">
        <f t="shared" si="1"/>
        <v>0</v>
      </c>
      <c r="M28" s="14">
        <f t="shared" si="1"/>
        <v>0</v>
      </c>
      <c r="N28" s="14">
        <f t="shared" si="1"/>
        <v>0</v>
      </c>
      <c r="O28" s="14">
        <f t="shared" si="1"/>
        <v>0</v>
      </c>
      <c r="P28" s="6"/>
      <c r="Q28" s="6"/>
      <c r="R28" s="6"/>
      <c r="S28" s="6"/>
      <c r="T28" s="6"/>
      <c r="U28" s="6"/>
      <c r="V28" s="6"/>
      <c r="W28" s="8"/>
      <c r="X28" s="8"/>
      <c r="Y28" s="8"/>
      <c r="Z28" s="8"/>
      <c r="AA28" s="8"/>
      <c r="AB28" s="2"/>
      <c r="AC28" s="2"/>
      <c r="AD28" s="2"/>
      <c r="AE28" s="2"/>
      <c r="AF28" s="2"/>
      <c r="AG28" s="2"/>
    </row>
    <row r="29" spans="1:33" ht="23.65" customHeight="1">
      <c r="A29" s="3"/>
      <c r="B29" s="6" t="s">
        <v>24</v>
      </c>
      <c r="C29" s="6">
        <v>1000</v>
      </c>
      <c r="D29" s="6">
        <v>0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7"/>
      <c r="S29" s="7"/>
      <c r="T29" s="7"/>
      <c r="U29" s="8"/>
      <c r="V29" s="8"/>
      <c r="W29" s="8"/>
      <c r="X29" s="8"/>
      <c r="Y29" s="8"/>
      <c r="Z29" s="8"/>
      <c r="AA29" s="8"/>
      <c r="AB29" s="2"/>
      <c r="AC29" s="2"/>
      <c r="AD29" s="2"/>
      <c r="AE29" s="2"/>
      <c r="AF29" s="2"/>
      <c r="AG29" s="2"/>
    </row>
    <row r="30" spans="1:33" ht="23.65" customHeight="1">
      <c r="A30" s="3"/>
      <c r="B30" s="7" t="s">
        <v>25</v>
      </c>
      <c r="C30" s="6">
        <v>1000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8"/>
      <c r="X30" s="8"/>
      <c r="Y30" s="8"/>
      <c r="Z30" s="8"/>
      <c r="AA30" s="8"/>
      <c r="AB30" s="2"/>
      <c r="AC30" s="2"/>
      <c r="AD30" s="2"/>
      <c r="AE30" s="2"/>
      <c r="AF30" s="2"/>
      <c r="AG30" s="2"/>
    </row>
    <row r="31" spans="1:33" ht="23.65" customHeight="1">
      <c r="A31" s="3"/>
      <c r="B31" s="7" t="s">
        <v>26</v>
      </c>
      <c r="C31" s="6">
        <v>0</v>
      </c>
      <c r="D31" s="6"/>
      <c r="E31" s="6"/>
      <c r="F31" s="6"/>
      <c r="G31" s="6"/>
      <c r="H31" s="6"/>
      <c r="I31" s="6"/>
      <c r="J31" s="6"/>
      <c r="K31" s="6"/>
      <c r="L31" s="6"/>
      <c r="M31" s="11"/>
      <c r="N31" s="6"/>
      <c r="O31" s="6"/>
      <c r="P31" s="6"/>
      <c r="Q31" s="6"/>
      <c r="R31" s="6"/>
      <c r="S31" s="6"/>
      <c r="T31" s="6"/>
      <c r="U31" s="6"/>
      <c r="V31" s="8"/>
      <c r="W31" s="8"/>
      <c r="X31" s="8"/>
      <c r="Y31" s="8"/>
      <c r="Z31" s="8"/>
      <c r="AA31" s="8"/>
      <c r="AB31" s="2"/>
      <c r="AC31" s="2"/>
      <c r="AD31" s="2"/>
      <c r="AE31" s="2"/>
      <c r="AF31" s="2"/>
      <c r="AG31" s="2"/>
    </row>
    <row r="32" spans="1:33" ht="23.65" customHeight="1">
      <c r="A32" s="3"/>
      <c r="B32" s="7" t="s">
        <v>27</v>
      </c>
      <c r="C32" s="6">
        <v>0</v>
      </c>
      <c r="D32" s="6"/>
      <c r="E32" s="6"/>
      <c r="F32" s="6"/>
      <c r="G32" s="6"/>
      <c r="H32" s="6"/>
      <c r="I32" s="6"/>
      <c r="J32" s="6"/>
      <c r="K32" s="6"/>
      <c r="L32" s="6"/>
      <c r="M32" s="11"/>
      <c r="N32" s="6"/>
      <c r="O32" s="6"/>
      <c r="P32" s="6"/>
      <c r="Q32" s="6"/>
      <c r="R32" s="6"/>
      <c r="S32" s="6"/>
      <c r="T32" s="6"/>
      <c r="U32" s="6"/>
      <c r="V32" s="6"/>
      <c r="W32" s="8"/>
      <c r="X32" s="8"/>
      <c r="Y32" s="8"/>
      <c r="Z32" s="8"/>
      <c r="AA32" s="8"/>
      <c r="AB32" s="2"/>
      <c r="AC32" s="2"/>
      <c r="AD32" s="2"/>
      <c r="AE32" s="2"/>
      <c r="AF32" s="2"/>
      <c r="AG32" s="2"/>
    </row>
    <row r="33" spans="1:33" ht="23.65" customHeight="1">
      <c r="A33" s="3"/>
      <c r="B33" s="13" t="s">
        <v>28</v>
      </c>
      <c r="C33" s="14">
        <f>C37+C72+C94+C113</f>
        <v>729</v>
      </c>
      <c r="D33" s="14">
        <f>D37+C69+D93</f>
        <v>333.6</v>
      </c>
      <c r="E33" s="14">
        <f>E37+C69+E93</f>
        <v>704.03</v>
      </c>
      <c r="F33" s="14">
        <f>F37+C69+F93</f>
        <v>1157.03</v>
      </c>
      <c r="G33" s="14">
        <f>G37+C69+G93</f>
        <v>1502.6299999999999</v>
      </c>
      <c r="H33" s="14">
        <f>H37+C69+H93</f>
        <v>1783.06</v>
      </c>
      <c r="I33" s="14">
        <f>I37+C69+I93</f>
        <v>2236.06</v>
      </c>
      <c r="J33" s="14">
        <f>J37+C69+J93</f>
        <v>2581.66</v>
      </c>
      <c r="K33" s="14">
        <f>K37+C69+K93</f>
        <v>0</v>
      </c>
      <c r="L33" s="14">
        <f>L37+C69+L93</f>
        <v>0</v>
      </c>
      <c r="M33" s="14">
        <f>M37+C69+M93</f>
        <v>0</v>
      </c>
      <c r="N33" s="14">
        <f>N37+C69+N93</f>
        <v>0</v>
      </c>
      <c r="O33" s="14">
        <f>O37+C69+O93</f>
        <v>0</v>
      </c>
      <c r="P33" s="8"/>
      <c r="Q33" s="6"/>
      <c r="R33" s="6"/>
      <c r="S33" s="6"/>
      <c r="T33" s="7"/>
      <c r="U33" s="8"/>
      <c r="V33" s="8"/>
      <c r="W33" s="8"/>
      <c r="X33" s="8"/>
      <c r="Y33" s="8"/>
      <c r="Z33" s="8"/>
      <c r="AA33" s="8"/>
      <c r="AB33" s="2"/>
      <c r="AC33" s="2"/>
      <c r="AD33" s="2"/>
      <c r="AE33" s="2"/>
      <c r="AF33" s="2"/>
      <c r="AG33" s="2"/>
    </row>
    <row r="34" spans="1:33" ht="23.65" customHeight="1">
      <c r="A34" s="10"/>
      <c r="B34" s="15" t="s">
        <v>29</v>
      </c>
      <c r="C34" s="5">
        <f t="shared" ref="C34:O34" si="2">C28-C33</f>
        <v>1271</v>
      </c>
      <c r="D34" s="5">
        <f t="shared" si="2"/>
        <v>-333.6</v>
      </c>
      <c r="E34" s="5">
        <f t="shared" si="2"/>
        <v>-704.03</v>
      </c>
      <c r="F34" s="5">
        <f t="shared" si="2"/>
        <v>-1157.03</v>
      </c>
      <c r="G34" s="5">
        <f t="shared" si="2"/>
        <v>-1502.6299999999999</v>
      </c>
      <c r="H34" s="5">
        <f t="shared" si="2"/>
        <v>-1783.06</v>
      </c>
      <c r="I34" s="5">
        <f t="shared" si="2"/>
        <v>-2236.06</v>
      </c>
      <c r="J34" s="5">
        <f t="shared" si="2"/>
        <v>-2581.66</v>
      </c>
      <c r="K34" s="5">
        <f t="shared" si="2"/>
        <v>0</v>
      </c>
      <c r="L34" s="5">
        <f t="shared" si="2"/>
        <v>0</v>
      </c>
      <c r="M34" s="5">
        <f t="shared" si="2"/>
        <v>0</v>
      </c>
      <c r="N34" s="5">
        <f t="shared" si="2"/>
        <v>0</v>
      </c>
      <c r="O34" s="5">
        <f t="shared" si="2"/>
        <v>0</v>
      </c>
      <c r="P34" s="6"/>
      <c r="Q34" s="6"/>
      <c r="R34" s="6"/>
      <c r="S34" s="6"/>
      <c r="T34" s="6"/>
      <c r="U34" s="6"/>
      <c r="V34" s="6"/>
      <c r="W34" s="8"/>
      <c r="X34" s="8"/>
      <c r="Y34" s="8"/>
      <c r="Z34" s="8"/>
      <c r="AA34" s="8"/>
      <c r="AB34" s="2"/>
      <c r="AC34" s="2"/>
      <c r="AD34" s="2"/>
      <c r="AE34" s="2"/>
      <c r="AF34" s="2"/>
      <c r="AG34" s="2"/>
    </row>
    <row r="35" spans="1:33" ht="23.65" customHeight="1" thickBot="1">
      <c r="A35" s="3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8"/>
      <c r="Q35" s="6"/>
      <c r="R35" s="7"/>
      <c r="S35" s="7"/>
      <c r="T35" s="7"/>
      <c r="U35" s="8"/>
      <c r="V35" s="8"/>
      <c r="W35" s="8"/>
      <c r="X35" s="8"/>
      <c r="Y35" s="8"/>
      <c r="Z35" s="8"/>
      <c r="AA35" s="8"/>
      <c r="AB35" s="2"/>
      <c r="AC35" s="2"/>
      <c r="AD35" s="2"/>
      <c r="AE35" s="2"/>
      <c r="AF35" s="2"/>
      <c r="AG35" s="2"/>
    </row>
    <row r="36" spans="1:33" ht="23.65" customHeight="1" thickBot="1">
      <c r="A36" s="3"/>
      <c r="B36" s="32" t="s">
        <v>30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6"/>
      <c r="Q36" s="6"/>
      <c r="R36" s="6"/>
      <c r="S36" s="6"/>
      <c r="T36" s="6"/>
      <c r="U36" s="6"/>
      <c r="V36" s="6"/>
      <c r="W36" s="8"/>
      <c r="X36" s="8"/>
      <c r="Y36" s="8"/>
      <c r="Z36" s="8"/>
      <c r="AA36" s="8"/>
      <c r="AB36" s="2"/>
      <c r="AC36" s="2"/>
      <c r="AD36" s="2"/>
      <c r="AE36" s="2"/>
      <c r="AF36" s="2"/>
      <c r="AG36" s="2"/>
    </row>
    <row r="37" spans="1:33" ht="23.65" customHeight="1">
      <c r="A37" s="3"/>
      <c r="B37" s="16" t="s">
        <v>31</v>
      </c>
      <c r="C37" s="6">
        <f>C38+C46+C49+C55+C67</f>
        <v>0</v>
      </c>
      <c r="D37" s="6">
        <f t="shared" ref="D37:J37" si="3">D38+D45+D49+D55+D63+D66+D68+D72+D74+D82</f>
        <v>333.6</v>
      </c>
      <c r="E37" s="6">
        <f t="shared" si="3"/>
        <v>704.03</v>
      </c>
      <c r="F37" s="6">
        <f t="shared" si="3"/>
        <v>1157.03</v>
      </c>
      <c r="G37" s="6">
        <f t="shared" si="3"/>
        <v>1502.6299999999999</v>
      </c>
      <c r="H37" s="6">
        <f t="shared" si="3"/>
        <v>1783.06</v>
      </c>
      <c r="I37" s="6">
        <f t="shared" si="3"/>
        <v>2236.06</v>
      </c>
      <c r="J37" s="6">
        <f t="shared" si="3"/>
        <v>2581.66</v>
      </c>
      <c r="K37" s="11"/>
      <c r="L37" s="11"/>
      <c r="M37" s="11"/>
      <c r="N37" s="11"/>
      <c r="O37" s="11"/>
      <c r="P37" s="8"/>
      <c r="Q37" s="6"/>
      <c r="R37" s="7"/>
      <c r="S37" s="7"/>
      <c r="T37" s="7"/>
      <c r="U37" s="8"/>
      <c r="V37" s="8"/>
      <c r="W37" s="8"/>
      <c r="X37" s="8"/>
      <c r="Y37" s="8"/>
      <c r="Z37" s="8"/>
      <c r="AA37" s="8"/>
      <c r="AB37" s="2"/>
      <c r="AC37" s="2"/>
      <c r="AD37" s="2"/>
      <c r="AE37" s="2"/>
      <c r="AF37" s="2"/>
      <c r="AG37" s="2"/>
    </row>
    <row r="38" spans="1:33" ht="23.65" customHeight="1">
      <c r="A38" s="3"/>
      <c r="B38" s="13" t="s">
        <v>32</v>
      </c>
      <c r="C38" s="14">
        <f>C39+C40+C41+C42</f>
        <v>0</v>
      </c>
      <c r="D38" s="14">
        <f>D39+D40+D41+D42</f>
        <v>0</v>
      </c>
      <c r="E38" s="14">
        <f>E39+E40+E41+E42</f>
        <v>0</v>
      </c>
      <c r="F38" s="14">
        <f>G39+G40+G41+F42</f>
        <v>0</v>
      </c>
      <c r="G38" s="14">
        <f t="shared" ref="G38:O38" si="4">G39+G40+G41+G42</f>
        <v>0</v>
      </c>
      <c r="H38" s="14">
        <f t="shared" si="4"/>
        <v>0</v>
      </c>
      <c r="I38" s="14">
        <f t="shared" si="4"/>
        <v>0</v>
      </c>
      <c r="J38" s="14">
        <f t="shared" si="4"/>
        <v>0</v>
      </c>
      <c r="K38" s="14">
        <f t="shared" si="4"/>
        <v>0</v>
      </c>
      <c r="L38" s="14">
        <f t="shared" si="4"/>
        <v>0</v>
      </c>
      <c r="M38" s="14">
        <f t="shared" si="4"/>
        <v>0</v>
      </c>
      <c r="N38" s="14">
        <f t="shared" si="4"/>
        <v>0</v>
      </c>
      <c r="O38" s="14">
        <f t="shared" si="4"/>
        <v>0</v>
      </c>
      <c r="P38" s="6"/>
      <c r="Q38" s="6"/>
      <c r="R38" s="6"/>
      <c r="S38" s="6"/>
      <c r="T38" s="6"/>
      <c r="U38" s="6"/>
      <c r="V38" s="6"/>
      <c r="W38" s="8"/>
      <c r="X38" s="8"/>
      <c r="Y38" s="8"/>
      <c r="Z38" s="8"/>
      <c r="AA38" s="8"/>
      <c r="AB38" s="2"/>
      <c r="AC38" s="2"/>
      <c r="AD38" s="2"/>
      <c r="AE38" s="2"/>
      <c r="AF38" s="2"/>
      <c r="AG38" s="2"/>
    </row>
    <row r="39" spans="1:33" ht="23.65" customHeight="1">
      <c r="A39" s="3"/>
      <c r="B39" s="17" t="s">
        <v>33</v>
      </c>
      <c r="C39" s="11">
        <v>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8"/>
      <c r="Q39" s="6"/>
      <c r="R39" s="7"/>
      <c r="S39" s="7"/>
      <c r="T39" s="7"/>
      <c r="U39" s="8"/>
      <c r="V39" s="8"/>
      <c r="W39" s="8"/>
      <c r="X39" s="8"/>
      <c r="Y39" s="8"/>
      <c r="Z39" s="8"/>
      <c r="AA39" s="8"/>
      <c r="AB39" s="2"/>
      <c r="AC39" s="2"/>
      <c r="AD39" s="2"/>
      <c r="AE39" s="2"/>
      <c r="AF39" s="2"/>
      <c r="AG39" s="2"/>
    </row>
    <row r="40" spans="1:33" ht="23.65" customHeight="1">
      <c r="A40" s="3"/>
      <c r="B40" s="17" t="s">
        <v>34</v>
      </c>
      <c r="C40" s="6">
        <v>0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8"/>
      <c r="X40" s="8"/>
      <c r="Y40" s="8"/>
      <c r="Z40" s="8"/>
      <c r="AA40" s="8"/>
      <c r="AB40" s="2"/>
      <c r="AC40" s="2"/>
      <c r="AD40" s="2"/>
      <c r="AE40" s="2"/>
      <c r="AF40" s="2"/>
      <c r="AG40" s="2"/>
    </row>
    <row r="41" spans="1:33" ht="23.65" customHeight="1">
      <c r="A41" s="3"/>
      <c r="B41" s="18" t="s">
        <v>35</v>
      </c>
      <c r="C41" s="11"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6"/>
      <c r="P41" s="8"/>
      <c r="Q41" s="6"/>
      <c r="R41" s="7"/>
      <c r="S41" s="7"/>
      <c r="T41" s="7"/>
      <c r="U41" s="8"/>
      <c r="V41" s="8"/>
      <c r="W41" s="8"/>
      <c r="X41" s="8"/>
      <c r="Y41" s="8"/>
      <c r="Z41" s="8"/>
      <c r="AA41" s="8"/>
      <c r="AB41" s="2"/>
      <c r="AC41" s="2"/>
      <c r="AD41" s="2"/>
      <c r="AE41" s="2"/>
      <c r="AF41" s="2"/>
      <c r="AG41" s="2"/>
    </row>
    <row r="42" spans="1:33" ht="23.65" customHeight="1">
      <c r="A42" s="3"/>
      <c r="B42" s="13" t="s">
        <v>36</v>
      </c>
      <c r="C42" s="14">
        <f t="shared" ref="C42:O42" si="5">C43+C44+C45</f>
        <v>0</v>
      </c>
      <c r="D42" s="14">
        <f t="shared" si="5"/>
        <v>0</v>
      </c>
      <c r="E42" s="14">
        <f t="shared" si="5"/>
        <v>0</v>
      </c>
      <c r="F42" s="14">
        <f t="shared" si="5"/>
        <v>0</v>
      </c>
      <c r="G42" s="14">
        <f t="shared" si="5"/>
        <v>0</v>
      </c>
      <c r="H42" s="14">
        <f t="shared" si="5"/>
        <v>0</v>
      </c>
      <c r="I42" s="14">
        <f t="shared" si="5"/>
        <v>0</v>
      </c>
      <c r="J42" s="14">
        <f t="shared" si="5"/>
        <v>0</v>
      </c>
      <c r="K42" s="14">
        <f t="shared" si="5"/>
        <v>0</v>
      </c>
      <c r="L42" s="14">
        <f t="shared" si="5"/>
        <v>0</v>
      </c>
      <c r="M42" s="14">
        <f t="shared" si="5"/>
        <v>0</v>
      </c>
      <c r="N42" s="14">
        <f t="shared" si="5"/>
        <v>0</v>
      </c>
      <c r="O42" s="14">
        <f t="shared" si="5"/>
        <v>0</v>
      </c>
      <c r="P42" s="6"/>
      <c r="Q42" s="6"/>
      <c r="R42" s="7"/>
      <c r="S42" s="7"/>
      <c r="T42" s="7"/>
      <c r="U42" s="8"/>
      <c r="V42" s="8"/>
      <c r="W42" s="8"/>
      <c r="X42" s="8"/>
      <c r="Y42" s="8"/>
      <c r="Z42" s="8"/>
      <c r="AA42" s="8"/>
      <c r="AB42" s="2"/>
      <c r="AC42" s="2"/>
      <c r="AD42" s="2"/>
      <c r="AE42" s="2"/>
      <c r="AF42" s="2"/>
      <c r="AG42" s="2"/>
    </row>
    <row r="43" spans="1:33" ht="23.65" customHeight="1">
      <c r="A43" s="3"/>
      <c r="B43" s="17" t="s">
        <v>37</v>
      </c>
      <c r="C43" s="6">
        <v>0</v>
      </c>
      <c r="D43" s="6"/>
      <c r="E43" s="11"/>
      <c r="F43" s="11"/>
      <c r="G43" s="11"/>
      <c r="H43" s="11"/>
      <c r="I43" s="11"/>
      <c r="J43" s="11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8"/>
      <c r="W43" s="8"/>
      <c r="X43" s="8"/>
      <c r="Y43" s="8"/>
      <c r="Z43" s="8"/>
      <c r="AA43" s="8"/>
      <c r="AB43" s="2"/>
      <c r="AC43" s="2"/>
      <c r="AD43" s="2"/>
      <c r="AE43" s="2"/>
      <c r="AF43" s="2"/>
      <c r="AG43" s="2"/>
    </row>
    <row r="44" spans="1:33" ht="23.65" customHeight="1">
      <c r="A44" s="3"/>
      <c r="B44" s="17" t="s">
        <v>38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7"/>
      <c r="S44" s="7"/>
      <c r="T44" s="7"/>
      <c r="U44" s="8"/>
      <c r="V44" s="8"/>
      <c r="W44" s="8"/>
      <c r="X44" s="8"/>
      <c r="Y44" s="8"/>
      <c r="Z44" s="8"/>
      <c r="AA44" s="8"/>
      <c r="AB44" s="2"/>
      <c r="AC44" s="2"/>
      <c r="AD44" s="2"/>
      <c r="AE44" s="2"/>
      <c r="AF44" s="2"/>
      <c r="AG44" s="2"/>
    </row>
    <row r="45" spans="1:33" ht="23.65" customHeight="1">
      <c r="A45" s="3"/>
      <c r="B45" s="18" t="s">
        <v>39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8"/>
      <c r="Y45" s="8"/>
      <c r="Z45" s="8"/>
      <c r="AA45" s="8"/>
      <c r="AB45" s="2"/>
      <c r="AC45" s="2"/>
      <c r="AD45" s="2"/>
      <c r="AE45" s="2"/>
      <c r="AF45" s="2"/>
      <c r="AG45" s="2"/>
    </row>
    <row r="46" spans="1:33" ht="23.65" customHeight="1">
      <c r="A46" s="3"/>
      <c r="B46" s="13" t="s">
        <v>40</v>
      </c>
      <c r="C46" s="14">
        <f t="shared" ref="C46:O46" si="6">C47+C48</f>
        <v>0</v>
      </c>
      <c r="D46" s="14">
        <f t="shared" si="6"/>
        <v>0</v>
      </c>
      <c r="E46" s="14">
        <f t="shared" si="6"/>
        <v>0</v>
      </c>
      <c r="F46" s="14">
        <f t="shared" si="6"/>
        <v>0</v>
      </c>
      <c r="G46" s="14">
        <f t="shared" si="6"/>
        <v>0</v>
      </c>
      <c r="H46" s="14">
        <f t="shared" si="6"/>
        <v>0</v>
      </c>
      <c r="I46" s="14">
        <f t="shared" si="6"/>
        <v>0</v>
      </c>
      <c r="J46" s="14">
        <f t="shared" si="6"/>
        <v>0</v>
      </c>
      <c r="K46" s="14">
        <f t="shared" si="6"/>
        <v>0</v>
      </c>
      <c r="L46" s="14">
        <f t="shared" si="6"/>
        <v>0</v>
      </c>
      <c r="M46" s="14">
        <f t="shared" si="6"/>
        <v>0</v>
      </c>
      <c r="N46" s="14">
        <f t="shared" si="6"/>
        <v>0</v>
      </c>
      <c r="O46" s="14">
        <f t="shared" si="6"/>
        <v>0</v>
      </c>
      <c r="P46" s="6"/>
      <c r="Q46" s="6"/>
      <c r="R46" s="7"/>
      <c r="S46" s="7"/>
      <c r="T46" s="7"/>
      <c r="U46" s="8"/>
      <c r="V46" s="8"/>
      <c r="W46" s="8"/>
      <c r="X46" s="8"/>
      <c r="Y46" s="8"/>
      <c r="Z46" s="8"/>
      <c r="AA46" s="8"/>
      <c r="AB46" s="2"/>
      <c r="AC46" s="2"/>
      <c r="AD46" s="2"/>
      <c r="AE46" s="2"/>
      <c r="AF46" s="2"/>
      <c r="AG46" s="2"/>
    </row>
    <row r="47" spans="1:33" ht="23.65" customHeight="1">
      <c r="A47" s="3"/>
      <c r="B47" s="17" t="s">
        <v>41</v>
      </c>
      <c r="C47" s="6">
        <v>0</v>
      </c>
      <c r="D47" s="6"/>
      <c r="E47" s="6"/>
      <c r="F47" s="6"/>
      <c r="G47" s="6"/>
      <c r="H47" s="6"/>
      <c r="I47" s="6"/>
      <c r="J47" s="6"/>
      <c r="K47" s="11"/>
      <c r="L47" s="11"/>
      <c r="M47" s="11"/>
      <c r="N47" s="11"/>
      <c r="O47" s="11"/>
      <c r="P47" s="6"/>
      <c r="Q47" s="6"/>
      <c r="R47" s="6"/>
      <c r="S47" s="6"/>
      <c r="T47" s="6"/>
      <c r="U47" s="6"/>
      <c r="V47" s="6"/>
      <c r="W47" s="6"/>
      <c r="X47" s="8"/>
      <c r="Y47" s="8"/>
      <c r="Z47" s="8"/>
      <c r="AA47" s="8"/>
      <c r="AB47" s="2"/>
      <c r="AC47" s="2"/>
      <c r="AD47" s="2"/>
      <c r="AE47" s="2"/>
      <c r="AF47" s="2"/>
      <c r="AG47" s="2"/>
    </row>
    <row r="48" spans="1:33" ht="23.65" customHeight="1">
      <c r="A48" s="3"/>
      <c r="B48" s="17" t="s">
        <v>42</v>
      </c>
      <c r="C48" s="6">
        <v>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7"/>
      <c r="S48" s="7"/>
      <c r="T48" s="7"/>
      <c r="U48" s="8"/>
      <c r="V48" s="8"/>
      <c r="W48" s="8"/>
      <c r="X48" s="8"/>
      <c r="Y48" s="8"/>
      <c r="Z48" s="8"/>
      <c r="AA48" s="8"/>
      <c r="AB48" s="2"/>
      <c r="AC48" s="2"/>
      <c r="AD48" s="2"/>
      <c r="AE48" s="2"/>
      <c r="AF48" s="2"/>
      <c r="AG48" s="2"/>
    </row>
    <row r="49" spans="1:33" ht="23.65" customHeight="1">
      <c r="A49" s="3"/>
      <c r="B49" s="13" t="s">
        <v>43</v>
      </c>
      <c r="C49" s="14">
        <f t="shared" ref="C49:O49" si="7">C50+C51+C52+C53+C54</f>
        <v>0</v>
      </c>
      <c r="D49" s="14">
        <f t="shared" si="7"/>
        <v>0</v>
      </c>
      <c r="E49" s="14">
        <f t="shared" si="7"/>
        <v>0</v>
      </c>
      <c r="F49" s="14">
        <f t="shared" si="7"/>
        <v>0</v>
      </c>
      <c r="G49" s="14">
        <f t="shared" si="7"/>
        <v>0</v>
      </c>
      <c r="H49" s="14">
        <f t="shared" si="7"/>
        <v>0</v>
      </c>
      <c r="I49" s="14">
        <f t="shared" si="7"/>
        <v>0</v>
      </c>
      <c r="J49" s="14">
        <f t="shared" si="7"/>
        <v>0</v>
      </c>
      <c r="K49" s="14">
        <f t="shared" si="7"/>
        <v>0</v>
      </c>
      <c r="L49" s="14">
        <f t="shared" si="7"/>
        <v>0</v>
      </c>
      <c r="M49" s="14">
        <f t="shared" si="7"/>
        <v>0</v>
      </c>
      <c r="N49" s="14">
        <f t="shared" si="7"/>
        <v>0</v>
      </c>
      <c r="O49" s="14">
        <f t="shared" si="7"/>
        <v>0</v>
      </c>
      <c r="P49" s="6"/>
      <c r="Q49" s="6"/>
      <c r="R49" s="7"/>
      <c r="S49" s="7"/>
      <c r="T49" s="7"/>
      <c r="U49" s="8"/>
      <c r="V49" s="8"/>
      <c r="W49" s="8"/>
      <c r="X49" s="8"/>
      <c r="Y49" s="8"/>
      <c r="Z49" s="8"/>
      <c r="AA49" s="8"/>
      <c r="AB49" s="2"/>
      <c r="AC49" s="2"/>
      <c r="AD49" s="2"/>
      <c r="AE49" s="2"/>
      <c r="AF49" s="2"/>
      <c r="AG49" s="2"/>
    </row>
    <row r="50" spans="1:33" ht="23.65" customHeight="1">
      <c r="A50" s="3"/>
      <c r="B50" s="17" t="s">
        <v>44</v>
      </c>
      <c r="C50" s="6">
        <v>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7"/>
      <c r="S50" s="7"/>
      <c r="T50" s="7"/>
      <c r="U50" s="8"/>
      <c r="V50" s="8"/>
      <c r="W50" s="8"/>
      <c r="X50" s="8"/>
      <c r="Y50" s="8"/>
      <c r="Z50" s="8"/>
      <c r="AA50" s="8"/>
      <c r="AB50" s="2"/>
      <c r="AC50" s="2"/>
      <c r="AD50" s="2"/>
      <c r="AE50" s="2"/>
      <c r="AF50" s="2"/>
      <c r="AG50" s="2"/>
    </row>
    <row r="51" spans="1:33" ht="23.65" customHeight="1">
      <c r="A51" s="3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7"/>
      <c r="S51" s="7"/>
      <c r="T51" s="7"/>
      <c r="U51" s="8"/>
      <c r="V51" s="8"/>
      <c r="W51" s="8"/>
      <c r="X51" s="8"/>
      <c r="Y51" s="8"/>
      <c r="Z51" s="8"/>
      <c r="AA51" s="8"/>
      <c r="AB51" s="2"/>
      <c r="AC51" s="2"/>
      <c r="AD51" s="2"/>
      <c r="AE51" s="2"/>
      <c r="AF51" s="2"/>
      <c r="AG51" s="2"/>
    </row>
    <row r="52" spans="1:33" ht="23.65" customHeight="1">
      <c r="A52" s="3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7"/>
      <c r="S52" s="7"/>
      <c r="T52" s="7"/>
      <c r="U52" s="8"/>
      <c r="V52" s="8"/>
      <c r="W52" s="8"/>
      <c r="X52" s="8"/>
      <c r="Y52" s="8"/>
      <c r="Z52" s="8"/>
      <c r="AA52" s="8"/>
      <c r="AB52" s="2"/>
      <c r="AC52" s="2"/>
      <c r="AD52" s="2"/>
      <c r="AE52" s="2"/>
      <c r="AF52" s="2"/>
      <c r="AG52" s="2"/>
    </row>
    <row r="53" spans="1:33" ht="23.65" customHeight="1">
      <c r="A53" s="3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2"/>
      <c r="AC53" s="2"/>
      <c r="AD53" s="2"/>
      <c r="AE53" s="2"/>
      <c r="AF53" s="2"/>
      <c r="AG53" s="2"/>
    </row>
    <row r="54" spans="1:33" ht="23.65" customHeight="1">
      <c r="A54" s="3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2"/>
      <c r="AC54" s="2"/>
      <c r="AD54" s="2"/>
      <c r="AE54" s="2"/>
      <c r="AF54" s="2"/>
      <c r="AG54" s="2"/>
    </row>
    <row r="55" spans="1:33" ht="23.65" customHeight="1">
      <c r="A55" s="3"/>
      <c r="B55" s="19" t="s">
        <v>45</v>
      </c>
      <c r="C55" s="14">
        <f>C56+C57+C58+C59+C60+C61+C62+C63+C64</f>
        <v>0</v>
      </c>
      <c r="D55" s="14">
        <f t="shared" ref="D55:O55" si="8">D56+D57+D58+D59+D60+D61</f>
        <v>0</v>
      </c>
      <c r="E55" s="14">
        <f t="shared" si="8"/>
        <v>0</v>
      </c>
      <c r="F55" s="14">
        <f t="shared" si="8"/>
        <v>0</v>
      </c>
      <c r="G55" s="14">
        <f t="shared" si="8"/>
        <v>0</v>
      </c>
      <c r="H55" s="14">
        <f t="shared" si="8"/>
        <v>0</v>
      </c>
      <c r="I55" s="14">
        <f t="shared" si="8"/>
        <v>0</v>
      </c>
      <c r="J55" s="14">
        <f t="shared" si="8"/>
        <v>0</v>
      </c>
      <c r="K55" s="14">
        <f t="shared" si="8"/>
        <v>0</v>
      </c>
      <c r="L55" s="14">
        <f t="shared" si="8"/>
        <v>0</v>
      </c>
      <c r="M55" s="14">
        <f t="shared" si="8"/>
        <v>0</v>
      </c>
      <c r="N55" s="14">
        <f t="shared" si="8"/>
        <v>0</v>
      </c>
      <c r="O55" s="14">
        <f t="shared" si="8"/>
        <v>0</v>
      </c>
      <c r="P55" s="6"/>
      <c r="Q55" s="6"/>
      <c r="R55" s="7"/>
      <c r="S55" s="7"/>
      <c r="T55" s="7"/>
      <c r="U55" s="8"/>
      <c r="V55" s="8"/>
      <c r="W55" s="8"/>
      <c r="X55" s="8"/>
      <c r="Y55" s="8"/>
      <c r="Z55" s="8"/>
      <c r="AA55" s="8"/>
      <c r="AB55" s="2"/>
      <c r="AC55" s="2"/>
      <c r="AD55" s="2"/>
      <c r="AE55" s="2"/>
      <c r="AF55" s="2"/>
      <c r="AG55" s="2"/>
    </row>
    <row r="56" spans="1:33" ht="23.65" customHeight="1">
      <c r="A56" s="3"/>
      <c r="B56" s="17" t="s">
        <v>46</v>
      </c>
      <c r="C56" s="11"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6"/>
      <c r="Q56" s="6"/>
      <c r="R56" s="7"/>
      <c r="S56" s="7"/>
      <c r="T56" s="7"/>
      <c r="U56" s="8"/>
      <c r="V56" s="8"/>
      <c r="W56" s="8"/>
      <c r="X56" s="8"/>
      <c r="Y56" s="8"/>
      <c r="Z56" s="8"/>
      <c r="AA56" s="8"/>
      <c r="AB56" s="2"/>
      <c r="AC56" s="2"/>
      <c r="AD56" s="2"/>
      <c r="AE56" s="2"/>
      <c r="AF56" s="2"/>
      <c r="AG56" s="2"/>
    </row>
    <row r="57" spans="1:33" ht="23.65" customHeight="1">
      <c r="A57" s="3"/>
      <c r="B57" s="17" t="s">
        <v>47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7"/>
      <c r="S57" s="7"/>
      <c r="T57" s="7"/>
      <c r="U57" s="8"/>
      <c r="V57" s="8"/>
      <c r="W57" s="8"/>
      <c r="X57" s="8"/>
      <c r="Y57" s="8"/>
      <c r="Z57" s="8"/>
      <c r="AA57" s="8"/>
      <c r="AB57" s="2"/>
      <c r="AC57" s="2"/>
      <c r="AD57" s="2"/>
      <c r="AE57" s="2"/>
      <c r="AF57" s="2"/>
      <c r="AG57" s="2"/>
    </row>
    <row r="58" spans="1:33" ht="23.65" customHeight="1">
      <c r="A58" s="3"/>
      <c r="B58" s="17"/>
      <c r="C58" s="11"/>
      <c r="D58" s="11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7"/>
      <c r="S58" s="7"/>
      <c r="T58" s="7"/>
      <c r="U58" s="8"/>
      <c r="V58" s="8"/>
      <c r="W58" s="8"/>
      <c r="X58" s="8"/>
      <c r="Y58" s="8"/>
      <c r="Z58" s="8"/>
      <c r="AA58" s="8"/>
      <c r="AB58" s="2"/>
      <c r="AC58" s="2"/>
      <c r="AD58" s="2"/>
      <c r="AE58" s="2"/>
      <c r="AF58" s="2"/>
      <c r="AG58" s="2"/>
    </row>
    <row r="59" spans="1:33" ht="23.65" customHeight="1">
      <c r="A59" s="3"/>
      <c r="B59" s="17" t="s">
        <v>48</v>
      </c>
      <c r="C59" s="11">
        <v>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6"/>
      <c r="Q59" s="6"/>
      <c r="R59" s="7"/>
      <c r="S59" s="7"/>
      <c r="T59" s="7"/>
      <c r="U59" s="8"/>
      <c r="V59" s="8"/>
      <c r="W59" s="8"/>
      <c r="X59" s="8"/>
      <c r="Y59" s="8"/>
      <c r="Z59" s="8"/>
      <c r="AA59" s="8"/>
      <c r="AB59" s="2"/>
      <c r="AC59" s="2"/>
      <c r="AD59" s="2"/>
      <c r="AE59" s="2"/>
      <c r="AF59" s="2"/>
      <c r="AG59" s="2"/>
    </row>
    <row r="60" spans="1:33" ht="23.65" customHeight="1">
      <c r="A60" s="3"/>
      <c r="B60" s="11"/>
      <c r="C60" s="6"/>
      <c r="D60" s="6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6"/>
      <c r="Q60" s="6"/>
      <c r="R60" s="7"/>
      <c r="S60" s="7"/>
      <c r="T60" s="7"/>
      <c r="U60" s="8"/>
      <c r="V60" s="8"/>
      <c r="W60" s="8"/>
      <c r="X60" s="8"/>
      <c r="Y60" s="8"/>
      <c r="Z60" s="8"/>
      <c r="AA60" s="8"/>
      <c r="AB60" s="2"/>
      <c r="AC60" s="2"/>
      <c r="AD60" s="2"/>
      <c r="AE60" s="2"/>
      <c r="AF60" s="2"/>
      <c r="AG60" s="2"/>
    </row>
    <row r="61" spans="1:33" ht="23.65" customHeight="1">
      <c r="A61" s="3"/>
      <c r="B61" s="20" t="s">
        <v>49</v>
      </c>
      <c r="C61" s="6">
        <v>0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7"/>
      <c r="S61" s="7"/>
      <c r="T61" s="7"/>
      <c r="U61" s="8"/>
      <c r="V61" s="8"/>
      <c r="W61" s="8"/>
      <c r="X61" s="8"/>
      <c r="Y61" s="8"/>
      <c r="Z61" s="8"/>
      <c r="AA61" s="8"/>
      <c r="AB61" s="2"/>
      <c r="AC61" s="2"/>
      <c r="AD61" s="2"/>
      <c r="AE61" s="2"/>
      <c r="AF61" s="2"/>
      <c r="AG61" s="2"/>
    </row>
    <row r="62" spans="1:33" ht="23.65" customHeight="1">
      <c r="A62" s="3"/>
      <c r="B62" s="11"/>
      <c r="C62" s="11"/>
      <c r="D62" s="11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7"/>
      <c r="S62" s="7"/>
      <c r="T62" s="7"/>
      <c r="U62" s="8"/>
      <c r="V62" s="8"/>
      <c r="W62" s="8"/>
      <c r="X62" s="8"/>
      <c r="Y62" s="8"/>
      <c r="Z62" s="8"/>
      <c r="AA62" s="8"/>
      <c r="AB62" s="2"/>
      <c r="AC62" s="2"/>
      <c r="AD62" s="2"/>
      <c r="AE62" s="2"/>
      <c r="AF62" s="2"/>
      <c r="AG62" s="2"/>
    </row>
    <row r="63" spans="1:33" ht="23.65" customHeight="1">
      <c r="A63" s="3"/>
      <c r="B63" s="11"/>
      <c r="C63" s="11"/>
      <c r="D63" s="11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7"/>
      <c r="S63" s="7"/>
      <c r="T63" s="7"/>
      <c r="U63" s="8"/>
      <c r="V63" s="8"/>
      <c r="W63" s="8"/>
      <c r="X63" s="8"/>
      <c r="Y63" s="8"/>
      <c r="Z63" s="8"/>
      <c r="AA63" s="8"/>
      <c r="AB63" s="2"/>
      <c r="AC63" s="2"/>
      <c r="AD63" s="2"/>
      <c r="AE63" s="2"/>
      <c r="AF63" s="2"/>
      <c r="AG63" s="2"/>
    </row>
    <row r="64" spans="1:33" ht="23.65" customHeight="1">
      <c r="A64" s="3"/>
      <c r="B64" s="11"/>
      <c r="C64" s="11"/>
      <c r="D64" s="11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7"/>
      <c r="S64" s="7"/>
      <c r="T64" s="7"/>
      <c r="U64" s="8"/>
      <c r="V64" s="8"/>
      <c r="W64" s="8"/>
      <c r="X64" s="8"/>
      <c r="Y64" s="8"/>
      <c r="Z64" s="8"/>
      <c r="AA64" s="8"/>
      <c r="AB64" s="2"/>
      <c r="AC64" s="2"/>
      <c r="AD64" s="2"/>
      <c r="AE64" s="2"/>
      <c r="AF64" s="2"/>
      <c r="AG64" s="2"/>
    </row>
    <row r="65" spans="1:33" ht="23.65" customHeight="1">
      <c r="A65" s="3"/>
      <c r="B65" s="11"/>
      <c r="C65" s="11"/>
      <c r="D65" s="11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7"/>
      <c r="S65" s="7"/>
      <c r="T65" s="7"/>
      <c r="U65" s="8"/>
      <c r="V65" s="8"/>
      <c r="W65" s="8"/>
      <c r="X65" s="8"/>
      <c r="Y65" s="8"/>
      <c r="Z65" s="8"/>
      <c r="AA65" s="8"/>
      <c r="AB65" s="2"/>
      <c r="AC65" s="2"/>
      <c r="AD65" s="2"/>
      <c r="AE65" s="2"/>
      <c r="AF65" s="2"/>
      <c r="AG65" s="2"/>
    </row>
    <row r="66" spans="1:33" ht="23.65" customHeight="1">
      <c r="A66" s="3"/>
      <c r="B66" s="11"/>
      <c r="C66" s="11"/>
      <c r="D66" s="11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7"/>
      <c r="S66" s="7"/>
      <c r="T66" s="7"/>
      <c r="U66" s="8"/>
      <c r="V66" s="8"/>
      <c r="W66" s="8"/>
      <c r="X66" s="8"/>
      <c r="Y66" s="8"/>
      <c r="Z66" s="8"/>
      <c r="AA66" s="8"/>
      <c r="AB66" s="2"/>
      <c r="AC66" s="2"/>
      <c r="AD66" s="2"/>
      <c r="AE66" s="2"/>
      <c r="AF66" s="2"/>
      <c r="AG66" s="2"/>
    </row>
    <row r="67" spans="1:33" ht="23.65" customHeight="1">
      <c r="A67" s="3"/>
      <c r="B67" s="13" t="s">
        <v>50</v>
      </c>
      <c r="C67" s="14">
        <f>C68+C69</f>
        <v>0</v>
      </c>
      <c r="D67" s="14">
        <f t="shared" ref="D67:O67" si="9">D68+D69+D70</f>
        <v>0</v>
      </c>
      <c r="E67" s="14">
        <f t="shared" si="9"/>
        <v>0</v>
      </c>
      <c r="F67" s="14">
        <f t="shared" si="9"/>
        <v>0</v>
      </c>
      <c r="G67" s="14">
        <f t="shared" si="9"/>
        <v>0</v>
      </c>
      <c r="H67" s="14">
        <f t="shared" si="9"/>
        <v>0</v>
      </c>
      <c r="I67" s="14">
        <f t="shared" si="9"/>
        <v>0</v>
      </c>
      <c r="J67" s="14">
        <f t="shared" si="9"/>
        <v>0</v>
      </c>
      <c r="K67" s="14">
        <f t="shared" si="9"/>
        <v>0</v>
      </c>
      <c r="L67" s="14">
        <f t="shared" si="9"/>
        <v>0</v>
      </c>
      <c r="M67" s="14">
        <f t="shared" si="9"/>
        <v>0</v>
      </c>
      <c r="N67" s="14">
        <f t="shared" si="9"/>
        <v>0</v>
      </c>
      <c r="O67" s="14">
        <f t="shared" si="9"/>
        <v>0</v>
      </c>
      <c r="P67" s="6"/>
      <c r="Q67" s="6"/>
      <c r="R67" s="7"/>
      <c r="S67" s="7"/>
      <c r="T67" s="7"/>
      <c r="U67" s="8"/>
      <c r="V67" s="8"/>
      <c r="W67" s="8"/>
      <c r="X67" s="8"/>
      <c r="Y67" s="8"/>
      <c r="Z67" s="8"/>
      <c r="AA67" s="8"/>
      <c r="AB67" s="2"/>
      <c r="AC67" s="2"/>
      <c r="AD67" s="2"/>
      <c r="AE67" s="2"/>
      <c r="AF67" s="2"/>
      <c r="AG67" s="2"/>
    </row>
    <row r="68" spans="1:33" ht="23.65" customHeight="1">
      <c r="A68" s="3"/>
      <c r="B68" s="17" t="s">
        <v>51</v>
      </c>
      <c r="C68" s="6">
        <v>0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7"/>
      <c r="S68" s="7"/>
      <c r="T68" s="7"/>
      <c r="U68" s="8"/>
      <c r="V68" s="8"/>
      <c r="W68" s="8"/>
      <c r="X68" s="8"/>
      <c r="Y68" s="8"/>
      <c r="Z68" s="8"/>
      <c r="AA68" s="8"/>
      <c r="AB68" s="2"/>
      <c r="AC68" s="2"/>
      <c r="AD68" s="2"/>
      <c r="AE68" s="2"/>
      <c r="AF68" s="2"/>
      <c r="AG68" s="2"/>
    </row>
    <row r="69" spans="1:33" ht="23.65" customHeight="1">
      <c r="A69" s="3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7"/>
      <c r="S69" s="7"/>
      <c r="T69" s="7"/>
      <c r="U69" s="8"/>
      <c r="V69" s="8"/>
      <c r="W69" s="8"/>
      <c r="X69" s="8"/>
      <c r="Y69" s="8"/>
      <c r="Z69" s="8"/>
      <c r="AA69" s="8"/>
      <c r="AB69" s="2"/>
      <c r="AC69" s="2"/>
      <c r="AD69" s="2"/>
      <c r="AE69" s="2"/>
      <c r="AF69" s="2"/>
      <c r="AG69" s="2"/>
    </row>
    <row r="70" spans="1:33" ht="23.65" customHeight="1" thickBot="1">
      <c r="A70" s="3"/>
      <c r="B70" s="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7"/>
      <c r="S70" s="7"/>
      <c r="T70" s="7"/>
      <c r="U70" s="8"/>
      <c r="V70" s="8"/>
      <c r="W70" s="8"/>
      <c r="X70" s="8"/>
      <c r="Y70" s="8"/>
      <c r="Z70" s="8"/>
      <c r="AA70" s="8"/>
      <c r="AB70" s="2"/>
      <c r="AC70" s="2"/>
      <c r="AD70" s="2"/>
      <c r="AE70" s="2"/>
      <c r="AF70" s="2"/>
      <c r="AG70" s="2"/>
    </row>
    <row r="71" spans="1:33" ht="23.65" customHeight="1" thickBot="1">
      <c r="A71" s="3"/>
      <c r="B71" s="32" t="s">
        <v>52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6"/>
      <c r="Q71" s="6"/>
      <c r="R71" s="7"/>
      <c r="S71" s="7"/>
      <c r="T71" s="7"/>
      <c r="U71" s="8"/>
      <c r="V71" s="8"/>
      <c r="W71" s="8"/>
      <c r="X71" s="8"/>
      <c r="Y71" s="8"/>
      <c r="Z71" s="8"/>
      <c r="AA71" s="8"/>
      <c r="AB71" s="2"/>
      <c r="AC71" s="2"/>
      <c r="AD71" s="2"/>
      <c r="AE71" s="2"/>
      <c r="AF71" s="2"/>
      <c r="AG71" s="2"/>
    </row>
    <row r="72" spans="1:33" ht="23.65" customHeight="1">
      <c r="A72" s="3"/>
      <c r="B72" s="16" t="s">
        <v>53</v>
      </c>
      <c r="C72" s="5">
        <f>C73+C75+C79+C81</f>
        <v>79</v>
      </c>
      <c r="D72" s="5">
        <f>441-(D73+D75+D79+D81)</f>
        <v>333.6</v>
      </c>
      <c r="E72" s="5">
        <f t="shared" ref="E72:O72" si="10">(453+D72)-(E73+E75+E79+E81)</f>
        <v>704.03</v>
      </c>
      <c r="F72" s="5">
        <f t="shared" si="10"/>
        <v>1157.03</v>
      </c>
      <c r="G72" s="5">
        <f t="shared" si="10"/>
        <v>1502.6299999999999</v>
      </c>
      <c r="H72" s="5">
        <f t="shared" si="10"/>
        <v>1783.06</v>
      </c>
      <c r="I72" s="5">
        <f t="shared" si="10"/>
        <v>2236.06</v>
      </c>
      <c r="J72" s="5">
        <f t="shared" si="10"/>
        <v>2581.66</v>
      </c>
      <c r="K72" s="5">
        <f t="shared" si="10"/>
        <v>2952.0899999999997</v>
      </c>
      <c r="L72" s="5">
        <f t="shared" si="10"/>
        <v>3405.0899999999997</v>
      </c>
      <c r="M72" s="5">
        <f t="shared" si="10"/>
        <v>3750.6899999999996</v>
      </c>
      <c r="N72" s="5">
        <f t="shared" si="10"/>
        <v>4031.1199999999994</v>
      </c>
      <c r="O72" s="5">
        <f t="shared" si="10"/>
        <v>4484.119999999999</v>
      </c>
      <c r="P72" s="6"/>
      <c r="Q72" s="6"/>
      <c r="R72" s="7"/>
      <c r="S72" s="7"/>
      <c r="T72" s="7"/>
      <c r="U72" s="8"/>
      <c r="V72" s="8"/>
      <c r="W72" s="8"/>
      <c r="X72" s="8"/>
      <c r="Y72" s="8"/>
      <c r="Z72" s="8"/>
      <c r="AA72" s="8"/>
      <c r="AB72" s="2"/>
      <c r="AC72" s="2"/>
      <c r="AD72" s="2"/>
      <c r="AE72" s="2"/>
      <c r="AF72" s="2"/>
      <c r="AG72" s="2"/>
    </row>
    <row r="73" spans="1:33" ht="23.65" customHeight="1">
      <c r="A73" s="3"/>
      <c r="B73" s="21" t="s">
        <v>54</v>
      </c>
      <c r="C73" s="14">
        <f t="shared" ref="C73:O73" si="11">C74</f>
        <v>0</v>
      </c>
      <c r="D73" s="14">
        <f t="shared" si="11"/>
        <v>0</v>
      </c>
      <c r="E73" s="14">
        <f t="shared" si="11"/>
        <v>0</v>
      </c>
      <c r="F73" s="14">
        <f t="shared" si="11"/>
        <v>0</v>
      </c>
      <c r="G73" s="14">
        <f t="shared" si="11"/>
        <v>0</v>
      </c>
      <c r="H73" s="14">
        <f t="shared" si="11"/>
        <v>0</v>
      </c>
      <c r="I73" s="14">
        <f t="shared" si="11"/>
        <v>0</v>
      </c>
      <c r="J73" s="14">
        <f t="shared" si="11"/>
        <v>0</v>
      </c>
      <c r="K73" s="14">
        <f t="shared" si="11"/>
        <v>0</v>
      </c>
      <c r="L73" s="14">
        <f t="shared" si="11"/>
        <v>0</v>
      </c>
      <c r="M73" s="14">
        <f t="shared" si="11"/>
        <v>0</v>
      </c>
      <c r="N73" s="14">
        <f t="shared" si="11"/>
        <v>0</v>
      </c>
      <c r="O73" s="14">
        <f t="shared" si="11"/>
        <v>0</v>
      </c>
      <c r="P73" s="6"/>
      <c r="Q73" s="6"/>
      <c r="R73" s="7"/>
      <c r="S73" s="7"/>
      <c r="T73" s="7"/>
      <c r="U73" s="8"/>
      <c r="V73" s="8"/>
      <c r="W73" s="8"/>
      <c r="X73" s="8"/>
      <c r="Y73" s="8"/>
      <c r="Z73" s="8"/>
      <c r="AA73" s="8"/>
      <c r="AB73" s="2"/>
      <c r="AC73" s="2"/>
      <c r="AD73" s="2"/>
      <c r="AE73" s="2"/>
      <c r="AF73" s="2"/>
      <c r="AG73" s="2"/>
    </row>
    <row r="74" spans="1:33" ht="23.65" customHeight="1">
      <c r="A74" s="3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7"/>
      <c r="S74" s="7"/>
      <c r="T74" s="7"/>
      <c r="U74" s="8"/>
      <c r="V74" s="8"/>
      <c r="W74" s="8"/>
      <c r="X74" s="8"/>
      <c r="Y74" s="8"/>
      <c r="Z74" s="8"/>
      <c r="AA74" s="8"/>
      <c r="AB74" s="2"/>
      <c r="AC74" s="2"/>
      <c r="AD74" s="2"/>
      <c r="AE74" s="2"/>
      <c r="AF74" s="2"/>
      <c r="AG74" s="2"/>
    </row>
    <row r="75" spans="1:33" ht="23.65" customHeight="1">
      <c r="A75" s="3"/>
      <c r="B75" s="21" t="s">
        <v>55</v>
      </c>
      <c r="C75" s="14">
        <f t="shared" ref="C75:O75" si="12">C76+C77+C78</f>
        <v>64</v>
      </c>
      <c r="D75" s="14">
        <f t="shared" si="12"/>
        <v>107.4</v>
      </c>
      <c r="E75" s="14">
        <f t="shared" si="12"/>
        <v>82.57</v>
      </c>
      <c r="F75" s="14">
        <f t="shared" si="12"/>
        <v>0</v>
      </c>
      <c r="G75" s="14">
        <f t="shared" si="12"/>
        <v>107.4</v>
      </c>
      <c r="H75" s="14">
        <f t="shared" si="12"/>
        <v>82.57</v>
      </c>
      <c r="I75" s="14">
        <f t="shared" si="12"/>
        <v>0</v>
      </c>
      <c r="J75" s="14">
        <f t="shared" si="12"/>
        <v>107.4</v>
      </c>
      <c r="K75" s="14">
        <f t="shared" si="12"/>
        <v>82.57</v>
      </c>
      <c r="L75" s="14">
        <f t="shared" si="12"/>
        <v>0</v>
      </c>
      <c r="M75" s="14">
        <f t="shared" si="12"/>
        <v>107.4</v>
      </c>
      <c r="N75" s="14">
        <f t="shared" si="12"/>
        <v>82.57</v>
      </c>
      <c r="O75" s="14">
        <f t="shared" si="12"/>
        <v>0</v>
      </c>
      <c r="P75" s="6"/>
      <c r="Q75" s="6"/>
      <c r="R75" s="7"/>
      <c r="S75" s="7"/>
      <c r="T75" s="7"/>
      <c r="U75" s="8"/>
      <c r="V75" s="8"/>
      <c r="W75" s="8"/>
      <c r="X75" s="8"/>
      <c r="Y75" s="8"/>
      <c r="Z75" s="8"/>
      <c r="AA75" s="8"/>
      <c r="AB75" s="2"/>
      <c r="AC75" s="2"/>
      <c r="AD75" s="2"/>
      <c r="AE75" s="2"/>
      <c r="AF75" s="2"/>
      <c r="AG75" s="2"/>
    </row>
    <row r="76" spans="1:33" ht="23.65" customHeight="1">
      <c r="A76" s="3"/>
      <c r="B76" s="17" t="s">
        <v>56</v>
      </c>
      <c r="C76" s="6">
        <v>36</v>
      </c>
      <c r="D76" s="6">
        <v>107.4</v>
      </c>
      <c r="E76" s="6"/>
      <c r="F76" s="6"/>
      <c r="G76" s="6">
        <v>107.4</v>
      </c>
      <c r="H76" s="6"/>
      <c r="I76" s="6"/>
      <c r="J76" s="6">
        <v>107.4</v>
      </c>
      <c r="K76" s="6"/>
      <c r="L76" s="6"/>
      <c r="M76" s="6">
        <v>107.4</v>
      </c>
      <c r="N76" s="6"/>
      <c r="O76" s="6"/>
      <c r="P76" s="6"/>
      <c r="Q76" s="6"/>
      <c r="R76" s="7"/>
      <c r="S76" s="7"/>
      <c r="T76" s="7"/>
      <c r="U76" s="8"/>
      <c r="V76" s="8"/>
      <c r="W76" s="8"/>
      <c r="X76" s="8"/>
      <c r="Y76" s="8"/>
      <c r="Z76" s="8"/>
      <c r="AA76" s="8"/>
      <c r="AB76" s="2"/>
      <c r="AC76" s="2"/>
      <c r="AD76" s="2"/>
      <c r="AE76" s="2"/>
      <c r="AF76" s="2"/>
      <c r="AG76" s="2"/>
    </row>
    <row r="77" spans="1:33" ht="23.65" customHeight="1">
      <c r="A77" s="3"/>
      <c r="B77" s="17" t="s">
        <v>57</v>
      </c>
      <c r="C77" s="6">
        <v>28</v>
      </c>
      <c r="D77" s="6"/>
      <c r="E77" s="6">
        <v>82.57</v>
      </c>
      <c r="F77" s="6"/>
      <c r="G77" s="6"/>
      <c r="H77" s="6">
        <v>82.57</v>
      </c>
      <c r="I77" s="6"/>
      <c r="J77" s="6"/>
      <c r="K77" s="6">
        <v>82.57</v>
      </c>
      <c r="L77" s="6"/>
      <c r="M77" s="6"/>
      <c r="N77" s="6">
        <v>82.57</v>
      </c>
      <c r="O77" s="6"/>
      <c r="P77" s="6"/>
      <c r="Q77" s="6"/>
      <c r="R77" s="7"/>
      <c r="S77" s="7"/>
      <c r="T77" s="7"/>
      <c r="U77" s="8"/>
      <c r="V77" s="8"/>
      <c r="W77" s="8"/>
      <c r="X77" s="8"/>
      <c r="Y77" s="8"/>
      <c r="Z77" s="8"/>
      <c r="AA77" s="8"/>
      <c r="AB77" s="2"/>
      <c r="AC77" s="2"/>
      <c r="AD77" s="2"/>
      <c r="AE77" s="2"/>
      <c r="AF77" s="2"/>
      <c r="AG77" s="2"/>
    </row>
    <row r="78" spans="1:33" ht="23.65" customHeight="1">
      <c r="A78" s="3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7"/>
      <c r="S78" s="7"/>
      <c r="T78" s="7"/>
      <c r="U78" s="8"/>
      <c r="V78" s="8"/>
      <c r="W78" s="8"/>
      <c r="X78" s="8"/>
      <c r="Y78" s="8"/>
      <c r="Z78" s="8"/>
      <c r="AA78" s="8"/>
      <c r="AB78" s="2"/>
      <c r="AC78" s="2"/>
      <c r="AD78" s="2"/>
      <c r="AE78" s="2"/>
      <c r="AF78" s="2"/>
      <c r="AG78" s="2"/>
    </row>
    <row r="79" spans="1:33" ht="23.65" customHeight="1">
      <c r="A79" s="3"/>
      <c r="B79" s="21" t="s">
        <v>58</v>
      </c>
      <c r="C79" s="14">
        <f t="shared" ref="C79:O79" si="13">C80</f>
        <v>15</v>
      </c>
      <c r="D79" s="14">
        <f t="shared" si="13"/>
        <v>0</v>
      </c>
      <c r="E79" s="14">
        <f t="shared" si="13"/>
        <v>0</v>
      </c>
      <c r="F79" s="14">
        <f t="shared" si="13"/>
        <v>0</v>
      </c>
      <c r="G79" s="14">
        <f t="shared" si="13"/>
        <v>0</v>
      </c>
      <c r="H79" s="14">
        <f t="shared" si="13"/>
        <v>90</v>
      </c>
      <c r="I79" s="14">
        <f t="shared" si="13"/>
        <v>0</v>
      </c>
      <c r="J79" s="14">
        <f t="shared" si="13"/>
        <v>0</v>
      </c>
      <c r="K79" s="14">
        <f t="shared" si="13"/>
        <v>0</v>
      </c>
      <c r="L79" s="14">
        <f t="shared" si="13"/>
        <v>0</v>
      </c>
      <c r="M79" s="14">
        <f t="shared" si="13"/>
        <v>0</v>
      </c>
      <c r="N79" s="14">
        <f t="shared" si="13"/>
        <v>90</v>
      </c>
      <c r="O79" s="14">
        <f t="shared" si="13"/>
        <v>0</v>
      </c>
      <c r="P79" s="6"/>
      <c r="Q79" s="6"/>
      <c r="R79" s="7"/>
      <c r="S79" s="7"/>
      <c r="T79" s="7"/>
      <c r="U79" s="8"/>
      <c r="V79" s="8"/>
      <c r="W79" s="8"/>
      <c r="X79" s="8"/>
      <c r="Y79" s="8"/>
      <c r="Z79" s="8"/>
      <c r="AA79" s="8"/>
      <c r="AB79" s="2"/>
      <c r="AC79" s="2"/>
      <c r="AD79" s="2"/>
      <c r="AE79" s="2"/>
      <c r="AF79" s="2"/>
      <c r="AG79" s="2"/>
    </row>
    <row r="80" spans="1:33" ht="23.65" customHeight="1">
      <c r="A80" s="3"/>
      <c r="B80" s="17" t="s">
        <v>59</v>
      </c>
      <c r="C80" s="11">
        <v>15</v>
      </c>
      <c r="D80" s="11"/>
      <c r="E80" s="11"/>
      <c r="F80" s="11"/>
      <c r="G80" s="11"/>
      <c r="H80" s="11">
        <v>90</v>
      </c>
      <c r="I80" s="11"/>
      <c r="J80" s="11"/>
      <c r="K80" s="6"/>
      <c r="L80" s="6"/>
      <c r="M80" s="7"/>
      <c r="N80" s="11">
        <v>90</v>
      </c>
      <c r="O80" s="8"/>
      <c r="P80" s="6"/>
      <c r="Q80" s="6"/>
      <c r="R80" s="7"/>
      <c r="S80" s="7"/>
      <c r="T80" s="7"/>
      <c r="U80" s="8"/>
      <c r="V80" s="8"/>
      <c r="W80" s="8"/>
      <c r="X80" s="8"/>
      <c r="Y80" s="8"/>
      <c r="Z80" s="8"/>
      <c r="AA80" s="8"/>
      <c r="AB80" s="2"/>
      <c r="AC80" s="2"/>
      <c r="AD80" s="2"/>
      <c r="AE80" s="2"/>
      <c r="AF80" s="2"/>
      <c r="AG80" s="2"/>
    </row>
    <row r="81" spans="1:33" ht="23.65" customHeight="1">
      <c r="A81" s="3"/>
      <c r="B81" s="21" t="s">
        <v>60</v>
      </c>
      <c r="C81" s="14">
        <f>C82+C83+C84+C85+C86+C87+C88+C89+C90</f>
        <v>0</v>
      </c>
      <c r="D81" s="14">
        <f t="shared" ref="D81:O81" si="14">D82+D83+D84+D85+D86</f>
        <v>0</v>
      </c>
      <c r="E81" s="14">
        <f t="shared" si="14"/>
        <v>0</v>
      </c>
      <c r="F81" s="14">
        <f t="shared" si="14"/>
        <v>0</v>
      </c>
      <c r="G81" s="14">
        <f t="shared" si="14"/>
        <v>0</v>
      </c>
      <c r="H81" s="14">
        <f t="shared" si="14"/>
        <v>0</v>
      </c>
      <c r="I81" s="14">
        <f t="shared" si="14"/>
        <v>0</v>
      </c>
      <c r="J81" s="14">
        <f t="shared" si="14"/>
        <v>0</v>
      </c>
      <c r="K81" s="14">
        <f t="shared" si="14"/>
        <v>0</v>
      </c>
      <c r="L81" s="14">
        <f t="shared" si="14"/>
        <v>0</v>
      </c>
      <c r="M81" s="14">
        <f t="shared" si="14"/>
        <v>0</v>
      </c>
      <c r="N81" s="14">
        <f t="shared" si="14"/>
        <v>0</v>
      </c>
      <c r="O81" s="14">
        <f t="shared" si="14"/>
        <v>0</v>
      </c>
      <c r="P81" s="6"/>
      <c r="Q81" s="6"/>
      <c r="R81" s="7"/>
      <c r="S81" s="7"/>
      <c r="T81" s="7"/>
      <c r="U81" s="8"/>
      <c r="V81" s="8"/>
      <c r="W81" s="8"/>
      <c r="X81" s="8"/>
      <c r="Y81" s="8"/>
      <c r="Z81" s="8"/>
      <c r="AA81" s="8"/>
      <c r="AB81" s="2"/>
      <c r="AC81" s="2"/>
      <c r="AD81" s="2"/>
      <c r="AE81" s="2"/>
      <c r="AF81" s="2"/>
      <c r="AG81" s="2"/>
    </row>
    <row r="82" spans="1:33" ht="23.65" customHeight="1">
      <c r="A82" s="3"/>
      <c r="B82" s="17" t="s">
        <v>41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6"/>
      <c r="P82" s="6"/>
      <c r="Q82" s="6"/>
      <c r="R82" s="7"/>
      <c r="S82" s="7"/>
      <c r="T82" s="7"/>
      <c r="U82" s="8"/>
      <c r="V82" s="8"/>
      <c r="W82" s="8"/>
      <c r="X82" s="8"/>
      <c r="Y82" s="8"/>
      <c r="Z82" s="8"/>
      <c r="AA82" s="8"/>
      <c r="AB82" s="2"/>
      <c r="AC82" s="2"/>
      <c r="AD82" s="2"/>
      <c r="AE82" s="2"/>
      <c r="AF82" s="2"/>
      <c r="AG82" s="2"/>
    </row>
    <row r="83" spans="1:33" ht="23.65" customHeight="1">
      <c r="A83" s="3"/>
      <c r="B83" s="6"/>
      <c r="C83" s="6"/>
      <c r="D83" s="6"/>
      <c r="E83" s="6"/>
      <c r="F83" s="6"/>
      <c r="G83" s="6"/>
      <c r="H83" s="6"/>
      <c r="I83" s="6"/>
      <c r="J83" s="6"/>
      <c r="K83" s="11"/>
      <c r="L83" s="11"/>
      <c r="M83" s="6"/>
      <c r="N83" s="11"/>
      <c r="O83" s="6"/>
      <c r="P83" s="6"/>
      <c r="Q83" s="6"/>
      <c r="R83" s="7"/>
      <c r="S83" s="7"/>
      <c r="T83" s="7"/>
      <c r="U83" s="8"/>
      <c r="V83" s="8"/>
      <c r="W83" s="8"/>
      <c r="X83" s="8"/>
      <c r="Y83" s="8"/>
      <c r="Z83" s="8"/>
      <c r="AA83" s="8"/>
      <c r="AB83" s="2"/>
      <c r="AC83" s="2"/>
      <c r="AD83" s="2"/>
      <c r="AE83" s="2"/>
      <c r="AF83" s="2"/>
      <c r="AG83" s="2"/>
    </row>
    <row r="84" spans="1:33" ht="23.65" customHeight="1">
      <c r="A84" s="3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7"/>
      <c r="S84" s="7"/>
      <c r="T84" s="7"/>
      <c r="U84" s="8"/>
      <c r="V84" s="8"/>
      <c r="W84" s="8"/>
      <c r="X84" s="8"/>
      <c r="Y84" s="8"/>
      <c r="Z84" s="8"/>
      <c r="AA84" s="8"/>
      <c r="AB84" s="2"/>
      <c r="AC84" s="2"/>
      <c r="AD84" s="2"/>
      <c r="AE84" s="2"/>
      <c r="AF84" s="2"/>
      <c r="AG84" s="2"/>
    </row>
    <row r="85" spans="1:33" ht="23.65" customHeight="1">
      <c r="A85" s="3"/>
      <c r="B85" s="6"/>
      <c r="C85" s="6"/>
      <c r="D85" s="6"/>
      <c r="E85" s="6"/>
      <c r="F85" s="6"/>
      <c r="G85" s="6"/>
      <c r="H85" s="6"/>
      <c r="I85" s="6"/>
      <c r="J85" s="6"/>
      <c r="K85" s="11"/>
      <c r="L85" s="11"/>
      <c r="M85" s="11"/>
      <c r="N85" s="11"/>
      <c r="O85" s="11"/>
      <c r="P85" s="6"/>
      <c r="Q85" s="6"/>
      <c r="R85" s="7"/>
      <c r="S85" s="7"/>
      <c r="T85" s="7"/>
      <c r="U85" s="8"/>
      <c r="V85" s="8"/>
      <c r="W85" s="8"/>
      <c r="X85" s="8"/>
      <c r="Y85" s="8"/>
      <c r="Z85" s="8"/>
      <c r="AA85" s="8"/>
      <c r="AB85" s="2"/>
      <c r="AC85" s="2"/>
      <c r="AD85" s="2"/>
      <c r="AE85" s="2"/>
      <c r="AF85" s="2"/>
      <c r="AG85" s="2"/>
    </row>
    <row r="86" spans="1:33" ht="23.65" customHeight="1">
      <c r="A86" s="3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7"/>
      <c r="S86" s="7"/>
      <c r="T86" s="7"/>
      <c r="U86" s="8"/>
      <c r="V86" s="8"/>
      <c r="W86" s="8"/>
      <c r="X86" s="8"/>
      <c r="Y86" s="8"/>
      <c r="Z86" s="8"/>
      <c r="AA86" s="8"/>
      <c r="AB86" s="2"/>
      <c r="AC86" s="2"/>
      <c r="AD86" s="2"/>
      <c r="AE86" s="2"/>
      <c r="AF86" s="2"/>
      <c r="AG86" s="2"/>
    </row>
    <row r="87" spans="1:33" ht="23.65" customHeight="1">
      <c r="A87" s="3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7"/>
      <c r="S87" s="7"/>
      <c r="T87" s="7"/>
      <c r="U87" s="8"/>
      <c r="V87" s="8"/>
      <c r="W87" s="8"/>
      <c r="X87" s="8"/>
      <c r="Y87" s="8"/>
      <c r="Z87" s="8"/>
      <c r="AA87" s="8"/>
      <c r="AB87" s="2"/>
      <c r="AC87" s="2"/>
      <c r="AD87" s="2"/>
      <c r="AE87" s="2"/>
      <c r="AF87" s="2"/>
      <c r="AG87" s="2"/>
    </row>
    <row r="88" spans="1:33" ht="23.65" customHeight="1">
      <c r="A88" s="3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7"/>
      <c r="S88" s="7"/>
      <c r="T88" s="7"/>
      <c r="U88" s="8"/>
      <c r="V88" s="8"/>
      <c r="W88" s="8"/>
      <c r="X88" s="8"/>
      <c r="Y88" s="8"/>
      <c r="Z88" s="8"/>
      <c r="AA88" s="8"/>
      <c r="AB88" s="2"/>
      <c r="AC88" s="2"/>
      <c r="AD88" s="2"/>
      <c r="AE88" s="2"/>
      <c r="AF88" s="2"/>
      <c r="AG88" s="2"/>
    </row>
    <row r="89" spans="1:33" ht="23.65" customHeight="1">
      <c r="A89" s="3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11"/>
      <c r="O89" s="6"/>
      <c r="P89" s="6"/>
      <c r="Q89" s="6"/>
      <c r="R89" s="7"/>
      <c r="S89" s="7"/>
      <c r="T89" s="7"/>
      <c r="U89" s="8"/>
      <c r="V89" s="8"/>
      <c r="W89" s="8"/>
      <c r="X89" s="8"/>
      <c r="Y89" s="8"/>
      <c r="Z89" s="8"/>
      <c r="AA89" s="8"/>
      <c r="AB89" s="2"/>
      <c r="AC89" s="2"/>
      <c r="AD89" s="2"/>
      <c r="AE89" s="2"/>
      <c r="AF89" s="2"/>
      <c r="AG89" s="2"/>
    </row>
    <row r="90" spans="1:33" ht="23.65" customHeight="1">
      <c r="A90" s="3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7"/>
      <c r="S90" s="7"/>
      <c r="T90" s="7"/>
      <c r="U90" s="8"/>
      <c r="V90" s="8"/>
      <c r="W90" s="8"/>
      <c r="X90" s="8"/>
      <c r="Y90" s="8"/>
      <c r="Z90" s="8"/>
      <c r="AA90" s="8"/>
      <c r="AB90" s="2"/>
      <c r="AC90" s="2"/>
      <c r="AD90" s="2"/>
      <c r="AE90" s="2"/>
      <c r="AF90" s="2"/>
      <c r="AG90" s="2"/>
    </row>
    <row r="91" spans="1:33" ht="23.65" customHeight="1">
      <c r="A91" s="3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7"/>
      <c r="S91" s="7"/>
      <c r="T91" s="7"/>
      <c r="U91" s="8"/>
      <c r="V91" s="8"/>
      <c r="W91" s="8"/>
      <c r="X91" s="8"/>
      <c r="Y91" s="8"/>
      <c r="Z91" s="8"/>
      <c r="AA91" s="8"/>
      <c r="AB91" s="2"/>
      <c r="AC91" s="2"/>
      <c r="AD91" s="2"/>
      <c r="AE91" s="2"/>
      <c r="AF91" s="2"/>
      <c r="AG91" s="2"/>
    </row>
    <row r="92" spans="1:33" ht="23.65" customHeight="1" thickBot="1">
      <c r="A92" s="3"/>
      <c r="B92" s="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7"/>
      <c r="S92" s="7"/>
      <c r="T92" s="7"/>
      <c r="U92" s="8"/>
      <c r="V92" s="8"/>
      <c r="W92" s="8"/>
      <c r="X92" s="8"/>
      <c r="Y92" s="8"/>
      <c r="Z92" s="8"/>
      <c r="AA92" s="8"/>
      <c r="AB92" s="2"/>
      <c r="AC92" s="2"/>
      <c r="AD92" s="2"/>
      <c r="AE92" s="2"/>
      <c r="AF92" s="2"/>
      <c r="AG92" s="2"/>
    </row>
    <row r="93" spans="1:33" ht="23.65" customHeight="1" thickBot="1">
      <c r="A93" s="3"/>
      <c r="B93" s="32" t="s">
        <v>61</v>
      </c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6"/>
      <c r="Q93" s="6"/>
      <c r="R93" s="7"/>
      <c r="S93" s="7"/>
      <c r="T93" s="7"/>
      <c r="U93" s="8"/>
      <c r="V93" s="8"/>
      <c r="W93" s="8"/>
      <c r="X93" s="8"/>
      <c r="Y93" s="8"/>
      <c r="Z93" s="8"/>
      <c r="AA93" s="8"/>
      <c r="AB93" s="2"/>
      <c r="AC93" s="2"/>
      <c r="AD93" s="2"/>
      <c r="AE93" s="2"/>
      <c r="AF93" s="2"/>
      <c r="AG93" s="2"/>
    </row>
    <row r="94" spans="1:33" ht="23.65" customHeight="1">
      <c r="A94" s="3"/>
      <c r="B94" s="22" t="s">
        <v>62</v>
      </c>
      <c r="C94" s="6">
        <f t="shared" ref="C94:K94" si="15">C95+C99</f>
        <v>0</v>
      </c>
      <c r="D94" s="6">
        <f t="shared" si="15"/>
        <v>0</v>
      </c>
      <c r="E94" s="6">
        <f t="shared" si="15"/>
        <v>0</v>
      </c>
      <c r="F94" s="6">
        <f t="shared" si="15"/>
        <v>0</v>
      </c>
      <c r="G94" s="6">
        <f t="shared" si="15"/>
        <v>0</v>
      </c>
      <c r="H94" s="6">
        <f t="shared" si="15"/>
        <v>0</v>
      </c>
      <c r="I94" s="6">
        <f t="shared" si="15"/>
        <v>0</v>
      </c>
      <c r="J94" s="6">
        <f t="shared" si="15"/>
        <v>0</v>
      </c>
      <c r="K94" s="6">
        <f t="shared" si="15"/>
        <v>0</v>
      </c>
      <c r="L94" s="6"/>
      <c r="M94" s="6"/>
      <c r="N94" s="6"/>
      <c r="O94" s="6"/>
      <c r="P94" s="6"/>
      <c r="Q94" s="6"/>
      <c r="R94" s="7"/>
      <c r="S94" s="7"/>
      <c r="T94" s="7"/>
      <c r="U94" s="8"/>
      <c r="V94" s="8"/>
      <c r="W94" s="8"/>
      <c r="X94" s="8"/>
      <c r="Y94" s="8"/>
      <c r="Z94" s="8"/>
      <c r="AA94" s="8"/>
      <c r="AB94" s="2"/>
      <c r="AC94" s="2"/>
      <c r="AD94" s="2"/>
      <c r="AE94" s="2"/>
      <c r="AF94" s="2"/>
      <c r="AG94" s="2"/>
    </row>
    <row r="95" spans="1:33" ht="23.65" customHeight="1">
      <c r="A95" s="3"/>
      <c r="B95" s="13" t="s">
        <v>63</v>
      </c>
      <c r="C95" s="14">
        <f t="shared" ref="C95:K95" si="16">C96+C97+C98</f>
        <v>0</v>
      </c>
      <c r="D95" s="14">
        <f t="shared" si="16"/>
        <v>0</v>
      </c>
      <c r="E95" s="14">
        <f t="shared" si="16"/>
        <v>0</v>
      </c>
      <c r="F95" s="14">
        <f t="shared" si="16"/>
        <v>0</v>
      </c>
      <c r="G95" s="14">
        <f t="shared" si="16"/>
        <v>0</v>
      </c>
      <c r="H95" s="14">
        <f t="shared" si="16"/>
        <v>0</v>
      </c>
      <c r="I95" s="14">
        <f t="shared" si="16"/>
        <v>0</v>
      </c>
      <c r="J95" s="14">
        <f t="shared" si="16"/>
        <v>0</v>
      </c>
      <c r="K95" s="14">
        <f t="shared" si="16"/>
        <v>0</v>
      </c>
      <c r="L95" s="14"/>
      <c r="M95" s="14"/>
      <c r="N95" s="14"/>
      <c r="O95" s="14"/>
      <c r="P95" s="6"/>
      <c r="Q95" s="6"/>
      <c r="R95" s="7"/>
      <c r="S95" s="7"/>
      <c r="T95" s="7"/>
      <c r="U95" s="8"/>
      <c r="V95" s="8"/>
      <c r="W95" s="8"/>
      <c r="X95" s="8"/>
      <c r="Y95" s="8"/>
      <c r="Z95" s="8"/>
      <c r="AA95" s="8"/>
      <c r="AB95" s="2"/>
      <c r="AC95" s="2"/>
      <c r="AD95" s="2"/>
      <c r="AE95" s="2"/>
      <c r="AF95" s="2"/>
      <c r="AG95" s="2"/>
    </row>
    <row r="96" spans="1:33" ht="23.65" customHeight="1">
      <c r="A96" s="3"/>
      <c r="B96" s="17" t="s">
        <v>64</v>
      </c>
      <c r="C96" s="6">
        <v>0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7"/>
      <c r="S96" s="7"/>
      <c r="T96" s="7"/>
      <c r="U96" s="8"/>
      <c r="V96" s="8"/>
      <c r="W96" s="8"/>
      <c r="X96" s="8"/>
      <c r="Y96" s="8"/>
      <c r="Z96" s="8"/>
      <c r="AA96" s="8"/>
      <c r="AB96" s="2"/>
      <c r="AC96" s="2"/>
      <c r="AD96" s="2"/>
      <c r="AE96" s="2"/>
      <c r="AF96" s="2"/>
      <c r="AG96" s="2"/>
    </row>
    <row r="97" spans="1:33" ht="23.65" customHeight="1">
      <c r="A97" s="3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7"/>
      <c r="S97" s="7"/>
      <c r="T97" s="7"/>
      <c r="U97" s="8"/>
      <c r="V97" s="8"/>
      <c r="W97" s="8"/>
      <c r="X97" s="8"/>
      <c r="Y97" s="8"/>
      <c r="Z97" s="8"/>
      <c r="AA97" s="8"/>
      <c r="AB97" s="2"/>
      <c r="AC97" s="2"/>
      <c r="AD97" s="2"/>
      <c r="AE97" s="2"/>
      <c r="AF97" s="2"/>
      <c r="AG97" s="2"/>
    </row>
    <row r="98" spans="1:33" ht="23.65" customHeight="1">
      <c r="A98" s="3"/>
      <c r="B98" s="17" t="s">
        <v>65</v>
      </c>
      <c r="C98" s="6">
        <v>0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7"/>
      <c r="S98" s="7"/>
      <c r="T98" s="7"/>
      <c r="U98" s="8"/>
      <c r="V98" s="8"/>
      <c r="W98" s="8"/>
      <c r="X98" s="8"/>
      <c r="Y98" s="8"/>
      <c r="Z98" s="8"/>
      <c r="AA98" s="8"/>
      <c r="AB98" s="2"/>
      <c r="AC98" s="2"/>
      <c r="AD98" s="2"/>
      <c r="AE98" s="2"/>
      <c r="AF98" s="2"/>
      <c r="AG98" s="2"/>
    </row>
    <row r="99" spans="1:33" ht="23.65" customHeight="1">
      <c r="A99" s="3"/>
      <c r="B99" s="13" t="s">
        <v>66</v>
      </c>
      <c r="C99" s="14">
        <f t="shared" ref="C99:K99" si="17">C100+C101+C102+C103+C104</f>
        <v>0</v>
      </c>
      <c r="D99" s="14">
        <f t="shared" si="17"/>
        <v>0</v>
      </c>
      <c r="E99" s="14">
        <f t="shared" si="17"/>
        <v>0</v>
      </c>
      <c r="F99" s="14">
        <f t="shared" si="17"/>
        <v>0</v>
      </c>
      <c r="G99" s="14">
        <f t="shared" si="17"/>
        <v>0</v>
      </c>
      <c r="H99" s="14">
        <f t="shared" si="17"/>
        <v>0</v>
      </c>
      <c r="I99" s="14">
        <f t="shared" si="17"/>
        <v>0</v>
      </c>
      <c r="J99" s="14">
        <f t="shared" si="17"/>
        <v>0</v>
      </c>
      <c r="K99" s="14">
        <f t="shared" si="17"/>
        <v>0</v>
      </c>
      <c r="L99" s="14"/>
      <c r="M99" s="14"/>
      <c r="N99" s="14"/>
      <c r="O99" s="14"/>
      <c r="P99" s="6"/>
      <c r="Q99" s="6"/>
      <c r="R99" s="7"/>
      <c r="S99" s="7"/>
      <c r="T99" s="7"/>
      <c r="U99" s="8"/>
      <c r="V99" s="8"/>
      <c r="W99" s="8"/>
      <c r="X99" s="8"/>
      <c r="Y99" s="8"/>
      <c r="Z99" s="8"/>
      <c r="AA99" s="8"/>
      <c r="AB99" s="2"/>
      <c r="AC99" s="2"/>
      <c r="AD99" s="2"/>
      <c r="AE99" s="2"/>
      <c r="AF99" s="2"/>
      <c r="AG99" s="2"/>
    </row>
    <row r="100" spans="1:33" ht="23.65" customHeight="1">
      <c r="A100" s="3"/>
      <c r="B100" s="17" t="s">
        <v>67</v>
      </c>
      <c r="C100" s="6">
        <v>0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7"/>
      <c r="S100" s="7"/>
      <c r="T100" s="7"/>
      <c r="U100" s="8"/>
      <c r="V100" s="8"/>
      <c r="W100" s="8"/>
      <c r="X100" s="8"/>
      <c r="Y100" s="8"/>
      <c r="Z100" s="8"/>
      <c r="AA100" s="8"/>
      <c r="AB100" s="2"/>
      <c r="AC100" s="2"/>
      <c r="AD100" s="2"/>
      <c r="AE100" s="2"/>
      <c r="AF100" s="2"/>
      <c r="AG100" s="2"/>
    </row>
    <row r="101" spans="1:33" ht="23.65" customHeight="1">
      <c r="A101" s="3"/>
      <c r="B101" s="17" t="s">
        <v>68</v>
      </c>
      <c r="C101" s="6">
        <v>0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7"/>
      <c r="S101" s="7"/>
      <c r="T101" s="7"/>
      <c r="U101" s="8"/>
      <c r="V101" s="8"/>
      <c r="W101" s="8"/>
      <c r="X101" s="8"/>
      <c r="Y101" s="8"/>
      <c r="Z101" s="8"/>
      <c r="AA101" s="8"/>
      <c r="AB101" s="2"/>
      <c r="AC101" s="2"/>
      <c r="AD101" s="2"/>
      <c r="AE101" s="2"/>
      <c r="AF101" s="2"/>
      <c r="AG101" s="2"/>
    </row>
    <row r="102" spans="1:33" ht="23.65" customHeight="1">
      <c r="A102" s="3"/>
      <c r="B102" s="17" t="s">
        <v>69</v>
      </c>
      <c r="C102" s="6">
        <v>0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7"/>
      <c r="S102" s="7"/>
      <c r="T102" s="7"/>
      <c r="U102" s="8"/>
      <c r="V102" s="8"/>
      <c r="W102" s="8"/>
      <c r="X102" s="8"/>
      <c r="Y102" s="8"/>
      <c r="Z102" s="8"/>
      <c r="AA102" s="8"/>
      <c r="AB102" s="2"/>
      <c r="AC102" s="2"/>
      <c r="AD102" s="2"/>
      <c r="AE102" s="2"/>
      <c r="AF102" s="2"/>
      <c r="AG102" s="2"/>
    </row>
    <row r="103" spans="1:33" ht="23.65" customHeight="1">
      <c r="A103" s="3"/>
      <c r="B103" s="17" t="s">
        <v>70</v>
      </c>
      <c r="C103" s="6">
        <v>0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7"/>
      <c r="S103" s="7"/>
      <c r="T103" s="7"/>
      <c r="U103" s="8"/>
      <c r="V103" s="8"/>
      <c r="W103" s="8"/>
      <c r="X103" s="8"/>
      <c r="Y103" s="8"/>
      <c r="Z103" s="8"/>
      <c r="AA103" s="8"/>
      <c r="AB103" s="2"/>
      <c r="AC103" s="2"/>
      <c r="AD103" s="2"/>
      <c r="AE103" s="2"/>
      <c r="AF103" s="2"/>
      <c r="AG103" s="2"/>
    </row>
    <row r="104" spans="1:33" ht="23.65" customHeight="1">
      <c r="A104" s="3"/>
      <c r="B104" s="17" t="s">
        <v>71</v>
      </c>
      <c r="C104" s="6">
        <v>0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7"/>
      <c r="S104" s="7"/>
      <c r="T104" s="7"/>
      <c r="U104" s="8"/>
      <c r="V104" s="8"/>
      <c r="W104" s="8"/>
      <c r="X104" s="8"/>
      <c r="Y104" s="8"/>
      <c r="Z104" s="8"/>
      <c r="AA104" s="8"/>
      <c r="AB104" s="2"/>
      <c r="AC104" s="2"/>
      <c r="AD104" s="2"/>
      <c r="AE104" s="2"/>
      <c r="AF104" s="2"/>
      <c r="AG104" s="2"/>
    </row>
    <row r="105" spans="1:33" ht="23.65" customHeight="1">
      <c r="A105" s="23"/>
      <c r="B105" s="17" t="s">
        <v>72</v>
      </c>
      <c r="C105" s="6">
        <v>400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7"/>
      <c r="S105" s="7"/>
      <c r="T105" s="7"/>
      <c r="U105" s="8"/>
      <c r="V105" s="8"/>
      <c r="W105" s="8"/>
      <c r="X105" s="8"/>
      <c r="Y105" s="8"/>
      <c r="Z105" s="8"/>
      <c r="AA105" s="8"/>
      <c r="AB105" s="2"/>
      <c r="AC105" s="2"/>
      <c r="AD105" s="2"/>
      <c r="AE105" s="2"/>
      <c r="AF105" s="2"/>
      <c r="AG105" s="2"/>
    </row>
    <row r="106" spans="1:33" ht="23.65" customHeight="1">
      <c r="A106" s="23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7"/>
      <c r="S106" s="7"/>
      <c r="T106" s="7"/>
      <c r="U106" s="8"/>
      <c r="V106" s="8"/>
      <c r="W106" s="8"/>
      <c r="X106" s="8"/>
      <c r="Y106" s="8"/>
      <c r="Z106" s="8"/>
      <c r="AA106" s="8"/>
      <c r="AB106" s="2"/>
      <c r="AC106" s="2"/>
      <c r="AD106" s="2"/>
      <c r="AE106" s="2"/>
      <c r="AF106" s="2"/>
      <c r="AG106" s="2"/>
    </row>
    <row r="107" spans="1:33" ht="23.65" customHeight="1">
      <c r="A107" s="23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7"/>
      <c r="S107" s="7"/>
      <c r="T107" s="7"/>
      <c r="U107" s="8"/>
      <c r="V107" s="8"/>
      <c r="W107" s="8"/>
      <c r="X107" s="8"/>
      <c r="Y107" s="8"/>
      <c r="Z107" s="8"/>
      <c r="AA107" s="8"/>
      <c r="AB107" s="2"/>
      <c r="AC107" s="2"/>
      <c r="AD107" s="2"/>
      <c r="AE107" s="2"/>
      <c r="AF107" s="2"/>
      <c r="AG107" s="2"/>
    </row>
    <row r="108" spans="1:33" ht="23.65" customHeight="1">
      <c r="A108" s="23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7"/>
      <c r="S108" s="7"/>
      <c r="T108" s="7"/>
      <c r="U108" s="8"/>
      <c r="V108" s="8"/>
      <c r="W108" s="8"/>
      <c r="X108" s="8"/>
      <c r="Y108" s="8"/>
      <c r="Z108" s="8"/>
      <c r="AA108" s="8"/>
      <c r="AB108" s="2"/>
      <c r="AC108" s="2"/>
      <c r="AD108" s="2"/>
      <c r="AE108" s="2"/>
      <c r="AF108" s="2"/>
      <c r="AG108" s="2"/>
    </row>
    <row r="109" spans="1:33" ht="23.65" customHeight="1">
      <c r="A109" s="23"/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24"/>
      <c r="Q109" s="24"/>
      <c r="R109" s="24"/>
      <c r="S109" s="24"/>
      <c r="T109" s="24"/>
      <c r="U109" s="25"/>
      <c r="V109" s="25"/>
      <c r="W109" s="25"/>
      <c r="X109" s="25"/>
      <c r="Y109" s="25"/>
      <c r="Z109" s="25"/>
      <c r="AA109" s="25"/>
    </row>
    <row r="110" spans="1:33" ht="23.65" customHeight="1">
      <c r="A110" s="23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24"/>
      <c r="Q110" s="24"/>
      <c r="R110" s="24"/>
      <c r="S110" s="24"/>
      <c r="T110" s="24"/>
      <c r="U110" s="25"/>
      <c r="V110" s="25"/>
      <c r="W110" s="25"/>
      <c r="X110" s="25"/>
      <c r="Y110" s="25"/>
      <c r="Z110" s="25"/>
      <c r="AA110" s="25"/>
    </row>
    <row r="111" spans="1:33" ht="23.65" customHeight="1" thickBot="1">
      <c r="A111" s="23"/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24"/>
      <c r="Q111" s="24"/>
      <c r="R111" s="24"/>
      <c r="S111" s="24"/>
      <c r="T111" s="24"/>
      <c r="U111" s="25"/>
      <c r="V111" s="25"/>
      <c r="W111" s="25"/>
      <c r="X111" s="25"/>
      <c r="Y111" s="25"/>
      <c r="Z111" s="25"/>
      <c r="AA111" s="25"/>
    </row>
    <row r="112" spans="1:33" ht="23.65" customHeight="1" thickBot="1">
      <c r="A112" s="23"/>
      <c r="B112" s="32" t="s">
        <v>73</v>
      </c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24"/>
      <c r="Q112" s="24"/>
      <c r="R112" s="24"/>
      <c r="S112" s="24"/>
      <c r="T112" s="24"/>
      <c r="U112" s="25"/>
      <c r="V112" s="25"/>
      <c r="W112" s="25"/>
      <c r="X112" s="25"/>
      <c r="Y112" s="25"/>
      <c r="Z112" s="25"/>
      <c r="AA112" s="25"/>
    </row>
    <row r="113" spans="1:27" ht="23.65" customHeight="1">
      <c r="A113" s="23"/>
      <c r="B113" s="22" t="s">
        <v>74</v>
      </c>
      <c r="C113" s="5">
        <f>SUM(C114:C122)</f>
        <v>650</v>
      </c>
      <c r="D113" s="5">
        <f t="shared" ref="D113:K113" si="18">D114+D118</f>
        <v>0</v>
      </c>
      <c r="E113" s="5">
        <f t="shared" si="18"/>
        <v>0</v>
      </c>
      <c r="F113" s="5">
        <f t="shared" si="18"/>
        <v>0</v>
      </c>
      <c r="G113" s="5">
        <f t="shared" si="18"/>
        <v>0</v>
      </c>
      <c r="H113" s="5">
        <f t="shared" si="18"/>
        <v>0</v>
      </c>
      <c r="I113" s="5">
        <f t="shared" si="18"/>
        <v>0</v>
      </c>
      <c r="J113" s="5">
        <f t="shared" si="18"/>
        <v>0</v>
      </c>
      <c r="K113" s="5">
        <f t="shared" si="18"/>
        <v>0</v>
      </c>
      <c r="L113" s="5"/>
      <c r="M113" s="5"/>
      <c r="N113" s="5"/>
      <c r="O113" s="5"/>
      <c r="P113" s="24"/>
      <c r="Q113" s="24"/>
      <c r="R113" s="24"/>
      <c r="S113" s="24"/>
      <c r="T113" s="24"/>
      <c r="U113" s="25"/>
      <c r="V113" s="25"/>
      <c r="W113" s="25"/>
      <c r="X113" s="25"/>
      <c r="Y113" s="25"/>
      <c r="Z113" s="25"/>
      <c r="AA113" s="25"/>
    </row>
    <row r="114" spans="1:27" ht="23.65" customHeight="1">
      <c r="A114" s="23"/>
      <c r="B114" s="4" t="s">
        <v>75</v>
      </c>
      <c r="C114" s="14">
        <v>100</v>
      </c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24"/>
      <c r="Q114" s="24"/>
      <c r="R114" s="24"/>
      <c r="S114" s="24"/>
      <c r="T114" s="24"/>
      <c r="U114" s="25"/>
      <c r="V114" s="25"/>
      <c r="W114" s="25"/>
      <c r="X114" s="25"/>
      <c r="Y114" s="25"/>
      <c r="Z114" s="25"/>
      <c r="AA114" s="25"/>
    </row>
    <row r="115" spans="1:27" ht="23.65" customHeight="1">
      <c r="A115" s="23"/>
      <c r="B115" s="26" t="s">
        <v>76</v>
      </c>
      <c r="C115" s="14">
        <v>150</v>
      </c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24"/>
      <c r="Q115" s="24"/>
      <c r="R115" s="24"/>
      <c r="S115" s="24"/>
      <c r="T115" s="24"/>
      <c r="U115" s="25"/>
      <c r="V115" s="25"/>
      <c r="W115" s="25"/>
      <c r="X115" s="25"/>
      <c r="Y115" s="25"/>
      <c r="Z115" s="25"/>
      <c r="AA115" s="25"/>
    </row>
    <row r="116" spans="1:27" ht="23.65" customHeight="1">
      <c r="A116" s="23"/>
      <c r="B116" s="26" t="s">
        <v>77</v>
      </c>
      <c r="C116" s="14">
        <v>100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24"/>
      <c r="Q116" s="24"/>
      <c r="R116" s="24"/>
      <c r="S116" s="24"/>
      <c r="T116" s="24"/>
      <c r="U116" s="25"/>
      <c r="V116" s="25"/>
      <c r="W116" s="25"/>
      <c r="X116" s="25"/>
      <c r="Y116" s="25"/>
      <c r="Z116" s="25"/>
      <c r="AA116" s="25"/>
    </row>
    <row r="117" spans="1:27" ht="23.65" customHeight="1">
      <c r="A117" s="23"/>
      <c r="B117" s="26" t="s">
        <v>78</v>
      </c>
      <c r="C117" s="14">
        <v>100</v>
      </c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24"/>
      <c r="Q117" s="24"/>
      <c r="R117" s="24"/>
      <c r="S117" s="24"/>
      <c r="T117" s="24"/>
      <c r="U117" s="25"/>
      <c r="V117" s="25"/>
      <c r="W117" s="25"/>
      <c r="X117" s="27"/>
      <c r="Y117" s="25"/>
      <c r="Z117" s="25"/>
      <c r="AA117" s="25"/>
    </row>
    <row r="118" spans="1:27" ht="23.65" customHeight="1">
      <c r="A118" s="10"/>
      <c r="B118" s="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24"/>
      <c r="Q118" s="24"/>
      <c r="R118" s="24"/>
      <c r="S118" s="24"/>
      <c r="T118" s="24"/>
      <c r="U118" s="25"/>
      <c r="V118" s="25"/>
      <c r="W118" s="25"/>
      <c r="X118" s="25"/>
      <c r="Y118" s="25"/>
      <c r="Z118" s="25"/>
      <c r="AA118" s="25"/>
    </row>
    <row r="119" spans="1:27" ht="23.65" customHeight="1">
      <c r="A119" s="23"/>
      <c r="B119" s="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24"/>
      <c r="Q119" s="24"/>
      <c r="R119" s="24"/>
      <c r="S119" s="24"/>
      <c r="T119" s="24"/>
      <c r="U119" s="25"/>
      <c r="V119" s="25"/>
      <c r="W119" s="25"/>
      <c r="X119" s="25"/>
      <c r="Y119" s="25"/>
      <c r="Z119" s="25"/>
      <c r="AA119" s="25"/>
    </row>
    <row r="120" spans="1:27" ht="23.65" customHeight="1">
      <c r="A120" s="23"/>
      <c r="B120" s="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24"/>
      <c r="Q120" s="24"/>
      <c r="R120" s="24"/>
      <c r="S120" s="24"/>
      <c r="T120" s="24"/>
      <c r="U120" s="25"/>
      <c r="V120" s="25"/>
      <c r="W120" s="25"/>
      <c r="X120" s="25"/>
      <c r="Y120" s="25"/>
      <c r="Z120" s="25"/>
      <c r="AA120" s="25"/>
    </row>
    <row r="121" spans="1:27" ht="23.65" customHeight="1">
      <c r="A121" s="23"/>
      <c r="B121" s="4" t="s">
        <v>79</v>
      </c>
      <c r="C121" s="14">
        <v>100</v>
      </c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24"/>
      <c r="Q121" s="24"/>
      <c r="R121" s="24"/>
      <c r="S121" s="24"/>
      <c r="T121" s="24"/>
      <c r="U121" s="25"/>
      <c r="V121" s="25"/>
      <c r="W121" s="25"/>
      <c r="X121" s="25"/>
      <c r="Y121" s="25"/>
      <c r="Z121" s="25"/>
      <c r="AA121" s="25"/>
    </row>
    <row r="122" spans="1:27" ht="23.65" customHeight="1">
      <c r="A122" s="23"/>
      <c r="B122" s="13" t="s">
        <v>80</v>
      </c>
      <c r="C122" s="14">
        <v>100</v>
      </c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24"/>
      <c r="Q122" s="24"/>
      <c r="R122" s="24"/>
      <c r="S122" s="24"/>
      <c r="T122" s="24"/>
      <c r="U122" s="25"/>
      <c r="V122" s="25"/>
      <c r="W122" s="25"/>
      <c r="X122" s="25"/>
      <c r="Y122" s="25"/>
      <c r="Z122" s="25"/>
      <c r="AA122" s="25"/>
    </row>
    <row r="123" spans="1:27" ht="23.65" customHeight="1">
      <c r="A123" s="23"/>
      <c r="B123" s="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24"/>
      <c r="Q123" s="24"/>
      <c r="R123" s="24"/>
      <c r="S123" s="24"/>
      <c r="T123" s="24"/>
      <c r="U123" s="25"/>
      <c r="V123" s="25"/>
      <c r="W123" s="25"/>
      <c r="X123" s="25"/>
      <c r="Y123" s="25"/>
      <c r="Z123" s="25"/>
      <c r="AA123" s="25"/>
    </row>
    <row r="124" spans="1:27" ht="23.65" customHeight="1">
      <c r="A124" s="23"/>
      <c r="B124" s="13" t="s">
        <v>81</v>
      </c>
      <c r="C124" s="14">
        <v>0</v>
      </c>
      <c r="D124" s="14">
        <v>1000</v>
      </c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24"/>
      <c r="Q124" s="24"/>
      <c r="R124" s="24"/>
      <c r="S124" s="24"/>
      <c r="T124" s="24"/>
      <c r="U124" s="25"/>
      <c r="V124" s="25"/>
      <c r="W124" s="25"/>
      <c r="X124" s="25"/>
      <c r="Y124" s="25"/>
      <c r="Z124" s="25"/>
      <c r="AA124" s="25"/>
    </row>
    <row r="125" spans="1:27" ht="12.75">
      <c r="A125" s="28"/>
      <c r="B125" s="12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24"/>
      <c r="Q125" s="24"/>
      <c r="R125" s="24"/>
      <c r="S125" s="24"/>
      <c r="T125" s="24"/>
      <c r="U125" s="25"/>
      <c r="V125" s="25"/>
      <c r="W125" s="25"/>
      <c r="X125" s="25"/>
      <c r="Y125" s="25"/>
      <c r="Z125" s="25"/>
      <c r="AA125" s="25"/>
    </row>
    <row r="126" spans="1:27" ht="12.75">
      <c r="A126" s="12"/>
      <c r="B126" s="29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24"/>
      <c r="Q126" s="24"/>
      <c r="R126" s="24"/>
      <c r="S126" s="24"/>
      <c r="T126" s="24"/>
      <c r="U126" s="25"/>
      <c r="V126" s="25"/>
      <c r="W126" s="25"/>
      <c r="X126" s="25"/>
      <c r="Y126" s="25"/>
      <c r="Z126" s="25"/>
      <c r="AA126" s="25"/>
    </row>
    <row r="127" spans="1:27" ht="12.75">
      <c r="A127" s="30"/>
      <c r="B127" s="12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24"/>
      <c r="Q127" s="24"/>
      <c r="R127" s="24"/>
      <c r="S127" s="24"/>
      <c r="T127" s="24"/>
      <c r="U127" s="25"/>
      <c r="V127" s="25"/>
      <c r="W127" s="25"/>
      <c r="X127" s="25"/>
      <c r="Y127" s="25"/>
      <c r="Z127" s="25"/>
      <c r="AA127" s="25"/>
    </row>
    <row r="128" spans="1:27" ht="12.75">
      <c r="A128" s="12"/>
      <c r="B128" s="29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24"/>
      <c r="Q128" s="24"/>
      <c r="R128" s="24"/>
      <c r="S128" s="24"/>
      <c r="T128" s="24"/>
      <c r="U128" s="25"/>
      <c r="V128" s="25"/>
      <c r="W128" s="25"/>
      <c r="X128" s="25"/>
      <c r="Y128" s="25"/>
      <c r="Z128" s="25"/>
      <c r="AA128" s="25"/>
    </row>
    <row r="129" spans="1:27" ht="12.75">
      <c r="A129" s="12"/>
      <c r="B129" s="7"/>
      <c r="C129" s="6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24"/>
      <c r="Q129" s="24"/>
      <c r="R129" s="24"/>
      <c r="S129" s="24"/>
      <c r="T129" s="24"/>
      <c r="U129" s="25"/>
      <c r="V129" s="25"/>
      <c r="W129" s="25"/>
      <c r="X129" s="25"/>
      <c r="Y129" s="25"/>
      <c r="Z129" s="25"/>
      <c r="AA129" s="25"/>
    </row>
    <row r="130" spans="1:27" ht="12.75">
      <c r="A130" s="12"/>
      <c r="B130" s="7"/>
      <c r="C130" s="6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24"/>
      <c r="Q130" s="24"/>
      <c r="R130" s="24"/>
      <c r="S130" s="24"/>
      <c r="T130" s="24"/>
      <c r="U130" s="25"/>
      <c r="V130" s="25"/>
      <c r="W130" s="25"/>
      <c r="X130" s="25"/>
      <c r="Y130" s="25"/>
      <c r="Z130" s="25"/>
      <c r="AA130" s="25"/>
    </row>
    <row r="131" spans="1:27" ht="12.75">
      <c r="A131" s="12"/>
      <c r="B131" s="7"/>
      <c r="C131" s="6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24"/>
      <c r="Q131" s="24"/>
      <c r="R131" s="24"/>
      <c r="S131" s="24"/>
      <c r="T131" s="24"/>
      <c r="U131" s="25"/>
      <c r="V131" s="25"/>
      <c r="W131" s="25"/>
      <c r="X131" s="25"/>
      <c r="Y131" s="25"/>
      <c r="Z131" s="25"/>
      <c r="AA131" s="25"/>
    </row>
    <row r="132" spans="1:27" ht="12.75">
      <c r="A132" s="12"/>
      <c r="B132" s="7"/>
      <c r="C132" s="6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24"/>
      <c r="Q132" s="24"/>
      <c r="R132" s="24"/>
      <c r="S132" s="24"/>
      <c r="T132" s="24"/>
      <c r="U132" s="25"/>
      <c r="V132" s="25"/>
      <c r="W132" s="25"/>
      <c r="X132" s="25"/>
      <c r="Y132" s="25"/>
      <c r="Z132" s="25"/>
      <c r="AA132" s="25"/>
    </row>
    <row r="133" spans="1:27" ht="12.75">
      <c r="A133" s="12"/>
      <c r="B133" s="7"/>
      <c r="C133" s="6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24"/>
      <c r="Q133" s="24"/>
      <c r="R133" s="24"/>
      <c r="S133" s="24"/>
      <c r="T133" s="24"/>
      <c r="U133" s="25"/>
      <c r="V133" s="25"/>
      <c r="W133" s="25"/>
      <c r="X133" s="25"/>
      <c r="Y133" s="25"/>
      <c r="Z133" s="25"/>
      <c r="AA133" s="25"/>
    </row>
    <row r="134" spans="1:27" ht="12.75">
      <c r="A134" s="12"/>
      <c r="B134" s="29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24"/>
      <c r="Q134" s="24"/>
      <c r="R134" s="24"/>
      <c r="S134" s="24"/>
      <c r="T134" s="24"/>
      <c r="U134" s="25"/>
      <c r="V134" s="25"/>
      <c r="W134" s="25"/>
      <c r="X134" s="25"/>
      <c r="Y134" s="25"/>
      <c r="Z134" s="25"/>
      <c r="AA134" s="25"/>
    </row>
    <row r="135" spans="1:27" ht="12.75">
      <c r="A135" s="12"/>
      <c r="B135" s="12"/>
      <c r="C135" s="11"/>
      <c r="D135" s="11"/>
      <c r="E135" s="12"/>
      <c r="F135" s="12"/>
      <c r="G135" s="12"/>
      <c r="H135" s="30"/>
      <c r="I135" s="30"/>
      <c r="J135" s="11"/>
      <c r="K135" s="11"/>
      <c r="L135" s="12"/>
      <c r="M135" s="12"/>
      <c r="N135" s="12"/>
      <c r="O135" s="30"/>
      <c r="P135" s="24"/>
      <c r="Q135" s="24"/>
      <c r="R135" s="24"/>
      <c r="S135" s="24"/>
      <c r="T135" s="24"/>
      <c r="U135" s="25"/>
      <c r="V135" s="25"/>
      <c r="W135" s="25"/>
      <c r="X135" s="25"/>
      <c r="Y135" s="25"/>
      <c r="Z135" s="25"/>
      <c r="AA135" s="25"/>
    </row>
    <row r="136" spans="1:27" ht="12.75">
      <c r="A136" s="12"/>
      <c r="B136" s="29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24"/>
      <c r="Q136" s="24"/>
      <c r="R136" s="24"/>
      <c r="S136" s="24"/>
      <c r="T136" s="24"/>
      <c r="U136" s="25"/>
      <c r="V136" s="25"/>
      <c r="W136" s="25"/>
      <c r="X136" s="25"/>
      <c r="Y136" s="25"/>
      <c r="Z136" s="25"/>
      <c r="AA136" s="25"/>
    </row>
    <row r="137" spans="1:27" ht="12.75">
      <c r="A137" s="28"/>
      <c r="B137" s="12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24"/>
      <c r="Q137" s="24"/>
      <c r="R137" s="24"/>
      <c r="S137" s="24"/>
      <c r="T137" s="24"/>
      <c r="U137" s="25"/>
      <c r="V137" s="25"/>
      <c r="W137" s="25"/>
      <c r="X137" s="25"/>
      <c r="Y137" s="25"/>
      <c r="Z137" s="25"/>
      <c r="AA137" s="25"/>
    </row>
    <row r="138" spans="1:27" ht="12.75">
      <c r="A138" s="12"/>
      <c r="B138" s="29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24"/>
      <c r="Q138" s="24"/>
      <c r="R138" s="24"/>
      <c r="S138" s="24"/>
      <c r="T138" s="24"/>
      <c r="U138" s="25"/>
      <c r="V138" s="25"/>
      <c r="W138" s="25"/>
      <c r="X138" s="25"/>
      <c r="Y138" s="25"/>
      <c r="Z138" s="25"/>
      <c r="AA138" s="25"/>
    </row>
    <row r="139" spans="1:27" ht="12.75">
      <c r="A139" s="30"/>
      <c r="B139" s="12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24"/>
      <c r="Q139" s="24"/>
      <c r="R139" s="24"/>
      <c r="S139" s="24"/>
      <c r="T139" s="24"/>
      <c r="U139" s="25"/>
      <c r="V139" s="25"/>
      <c r="W139" s="25"/>
      <c r="X139" s="25"/>
      <c r="Y139" s="25"/>
      <c r="Z139" s="25"/>
      <c r="AA139" s="25"/>
    </row>
    <row r="140" spans="1:27" ht="12.75">
      <c r="A140" s="12"/>
      <c r="B140" s="29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24"/>
      <c r="Q140" s="24"/>
      <c r="R140" s="24"/>
      <c r="S140" s="24"/>
      <c r="T140" s="24"/>
      <c r="U140" s="25"/>
      <c r="V140" s="25"/>
      <c r="W140" s="25"/>
      <c r="X140" s="25"/>
      <c r="Y140" s="25"/>
      <c r="Z140" s="25"/>
      <c r="AA140" s="25"/>
    </row>
    <row r="141" spans="1:27" ht="12.75">
      <c r="A141" s="12"/>
      <c r="B141" s="12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24"/>
      <c r="Q141" s="24"/>
      <c r="R141" s="24"/>
      <c r="S141" s="24"/>
      <c r="T141" s="24"/>
      <c r="U141" s="25"/>
      <c r="V141" s="25"/>
      <c r="W141" s="25"/>
      <c r="X141" s="25"/>
      <c r="Y141" s="25"/>
      <c r="Z141" s="25"/>
      <c r="AA141" s="25"/>
    </row>
    <row r="142" spans="1:27" ht="12.75">
      <c r="A142" s="12"/>
      <c r="B142" s="3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24"/>
      <c r="Q142" s="24"/>
      <c r="R142" s="24"/>
      <c r="S142" s="24"/>
      <c r="T142" s="24"/>
      <c r="U142" s="25"/>
      <c r="V142" s="25"/>
      <c r="W142" s="25"/>
      <c r="X142" s="25"/>
      <c r="Y142" s="25"/>
      <c r="Z142" s="25"/>
      <c r="AA142" s="25"/>
    </row>
    <row r="143" spans="1:27" ht="12.75">
      <c r="A143" s="12"/>
      <c r="B143" s="12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24"/>
      <c r="Q143" s="24"/>
      <c r="R143" s="24"/>
      <c r="S143" s="24"/>
      <c r="T143" s="24"/>
    </row>
    <row r="144" spans="1:27" ht="12.75">
      <c r="A144" s="12"/>
      <c r="B144" s="29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</row>
    <row r="145" spans="1:15" ht="12.75">
      <c r="A145" s="12"/>
      <c r="B145" s="29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spans="1:15" ht="12.75">
      <c r="A146" s="12"/>
      <c r="B146" s="29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spans="1:15" ht="12.75">
      <c r="A147" s="12"/>
      <c r="B147" s="12"/>
      <c r="C147" s="11"/>
      <c r="D147" s="11"/>
      <c r="E147" s="12"/>
      <c r="F147" s="12"/>
      <c r="G147" s="12"/>
      <c r="H147" s="30"/>
      <c r="I147" s="30"/>
      <c r="J147" s="11"/>
      <c r="K147" s="11"/>
      <c r="L147" s="12"/>
      <c r="M147" s="12"/>
      <c r="N147" s="12"/>
      <c r="O147" s="30"/>
    </row>
    <row r="148" spans="1:15" ht="12.75">
      <c r="A148" s="12"/>
      <c r="B148" s="29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</row>
  </sheetData>
  <mergeCells count="5">
    <mergeCell ref="B27:O27"/>
    <mergeCell ref="B36:O36"/>
    <mergeCell ref="B71:O71"/>
    <mergeCell ref="B93:O93"/>
    <mergeCell ref="B112:O112"/>
  </mergeCells>
  <pageMargins left="0" right="0" top="0.39370000000000005" bottom="0.39370000000000005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29707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cloudconvert_20</cp:lastModifiedBy>
  <cp:revision>79</cp:revision>
  <dcterms:created xsi:type="dcterms:W3CDTF">2023-02-12T22:16:22Z</dcterms:created>
  <dcterms:modified xsi:type="dcterms:W3CDTF">2026-03-11T20:45:24Z</dcterms:modified>
</cp:coreProperties>
</file>